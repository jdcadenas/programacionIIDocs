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ción II" sheetId="1" r:id="rId5"/>
    <sheet state="visible" name="Base de datos" sheetId="2" r:id="rId6"/>
  </sheets>
  <definedNames/>
  <calcPr/>
</workbook>
</file>

<file path=xl/sharedStrings.xml><?xml version="1.0" encoding="utf-8"?>
<sst xmlns="http://schemas.openxmlformats.org/spreadsheetml/2006/main" count="114" uniqueCount="62">
  <si>
    <t>UNIVERSIDAD POLITÉCNICA TERRITORIAL DEL ESTADO LARA ANDRÉS ELOY BLANCO</t>
  </si>
  <si>
    <t>Unidad Curricular: Programación II</t>
  </si>
  <si>
    <t>Sección: IN2203</t>
  </si>
  <si>
    <t>Trayecto: II</t>
  </si>
  <si>
    <t>Fase: I</t>
  </si>
  <si>
    <t>Docente: Prof. José Daniel Cadenas</t>
  </si>
  <si>
    <t>Lapso: 2026-1</t>
  </si>
  <si>
    <t>N°</t>
  </si>
  <si>
    <t>Cédula</t>
  </si>
  <si>
    <t>Apellidos y Nombres</t>
  </si>
  <si>
    <t>26-02-2026</t>
  </si>
  <si>
    <t>05-03-2026</t>
  </si>
  <si>
    <t>12-03-2026</t>
  </si>
  <si>
    <t>26-03-2026</t>
  </si>
  <si>
    <t>26-02-2028</t>
  </si>
  <si>
    <t>05-03-2028</t>
  </si>
  <si>
    <t>26-02-2029</t>
  </si>
  <si>
    <t>05-03-2029</t>
  </si>
  <si>
    <t>26-02-2030</t>
  </si>
  <si>
    <t>05-03-2030</t>
  </si>
  <si>
    <t>26-02-2031</t>
  </si>
  <si>
    <t>05-03-2031</t>
  </si>
  <si>
    <t>26-02-2032</t>
  </si>
  <si>
    <t>05-03-2032</t>
  </si>
  <si>
    <t>26-02-2033</t>
  </si>
  <si>
    <t>05-03-2033</t>
  </si>
  <si>
    <t>Asistencia (%)</t>
  </si>
  <si>
    <t>U-I: Arq. Web (5%) +1</t>
  </si>
  <si>
    <t>U-II: Lab/Git (10%) +1</t>
  </si>
  <si>
    <t>U-III: HTML/CSS (10%) +1</t>
  </si>
  <si>
    <t>U-IV: UML/PHP (10%) +1</t>
  </si>
  <si>
    <t>U-V: PSR-4 (15%)</t>
  </si>
  <si>
    <t>TOTAL FASE I (50%)</t>
  </si>
  <si>
    <t>ESTATUS</t>
  </si>
  <si>
    <t>Jackeline Carolina Meza Prado</t>
  </si>
  <si>
    <t>Angelica Escalona</t>
  </si>
  <si>
    <t>Veyra Giménez</t>
  </si>
  <si>
    <t>Elianyibeth Colmenarez</t>
  </si>
  <si>
    <t>Gixon Apostol</t>
  </si>
  <si>
    <t>Marlon Flores</t>
  </si>
  <si>
    <t>Jenhson Melendez</t>
  </si>
  <si>
    <t>José Monta</t>
  </si>
  <si>
    <t>Isaac Olivera</t>
  </si>
  <si>
    <t>Kevin Granda</t>
  </si>
  <si>
    <t>Daniel Madero</t>
  </si>
  <si>
    <t>María Sivira</t>
  </si>
  <si>
    <t>Scarle Escobar</t>
  </si>
  <si>
    <t>David Peña</t>
  </si>
  <si>
    <t>Danny Vasquez (base Datos)</t>
  </si>
  <si>
    <t>Yermain Primera</t>
  </si>
  <si>
    <t>Daikelys Vargas</t>
  </si>
  <si>
    <t>Daniel Orozco</t>
  </si>
  <si>
    <t>Wilmelis Lugo</t>
  </si>
  <si>
    <t>Alejandro Arroyo</t>
  </si>
  <si>
    <t>Zabdiel Arroyo</t>
  </si>
  <si>
    <t>Samuel Méndez</t>
  </si>
  <si>
    <t>Raúl Arangu</t>
  </si>
  <si>
    <t>Unidad Curricular: Base de Datos</t>
  </si>
  <si>
    <t>19-03-2026</t>
  </si>
  <si>
    <t>Columna 21</t>
  </si>
  <si>
    <t>Columna 22</t>
  </si>
  <si>
    <t>Danny Vasquez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</si>
</sst>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sz val="16.0"/>
      <color rgb="FFFFFFFF"/>
      <name val="Arial"/>
      <scheme val="minor"/>
    </font>
    <font>
      <sz val="8.0"/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Consolas"/>
    </font>
    <font>
      <b/>
      <sz val="12.0"/>
      <color theme="1"/>
      <name val="Arial"/>
      <scheme val="minor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660000"/>
        <bgColor rgb="FF6600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textRotation="90" vertical="center" wrapText="0"/>
    </xf>
    <xf borderId="0" fillId="0" fontId="4" numFmtId="0" xfId="0" applyFont="1"/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1" fillId="3" fontId="1" numFmtId="0" xfId="0" applyAlignment="1" applyBorder="1" applyFill="1" applyFont="1">
      <alignment readingOrder="0"/>
    </xf>
    <xf borderId="2" fillId="3" fontId="1" numFmtId="0" xfId="0" applyAlignment="1" applyBorder="1" applyFont="1">
      <alignment readingOrder="0"/>
    </xf>
    <xf borderId="3" fillId="3" fontId="1" numFmtId="0" xfId="0" applyAlignment="1" applyBorder="1" applyFont="1">
      <alignment readingOrder="0"/>
    </xf>
    <xf borderId="0" fillId="3" fontId="1" numFmtId="0" xfId="0" applyFont="1"/>
    <xf borderId="4" fillId="3" fontId="2" numFmtId="0" xfId="0" applyBorder="1" applyFont="1"/>
    <xf borderId="0" fillId="3" fontId="2" numFmtId="0" xfId="0" applyFont="1"/>
    <xf borderId="0" fillId="3" fontId="2" numFmtId="0" xfId="0" applyAlignment="1" applyFont="1">
      <alignment readingOrder="0"/>
    </xf>
    <xf borderId="5" fillId="3" fontId="2" numFmtId="0" xfId="0" applyAlignment="1" applyBorder="1" applyFont="1">
      <alignment readingOrder="0"/>
    </xf>
    <xf borderId="6" fillId="3" fontId="2" numFmtId="0" xfId="0" applyBorder="1" applyFont="1"/>
    <xf borderId="7" fillId="3" fontId="2" numFmtId="0" xfId="0" applyBorder="1" applyFont="1"/>
    <xf borderId="7" fillId="3" fontId="2" numFmtId="0" xfId="0" applyAlignment="1" applyBorder="1" applyFont="1">
      <alignment readingOrder="0"/>
    </xf>
    <xf borderId="8" fillId="3" fontId="2" numFmtId="0" xfId="0" applyBorder="1" applyFont="1"/>
    <xf borderId="0" fillId="0" fontId="5" numFmtId="3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BB463C"/>
          <bgColor rgb="FFBB463C"/>
        </patternFill>
      </fill>
      <border/>
    </dxf>
  </dxfs>
  <tableStyles count="2">
    <tableStyle count="4" pivot="0" name="Programación 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 de dato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AA28" displayName="Evaluaciones" name="Evaluaciones" id="1">
  <tableColumns count="27">
    <tableColumn name="N°" id="1"/>
    <tableColumn name="Cédula" id="2"/>
    <tableColumn name="Apellidos y Nombres" id="3"/>
    <tableColumn name="26-02-2026" id="4"/>
    <tableColumn name="05-03-2026" id="5"/>
    <tableColumn name="12-03-2026" id="6"/>
    <tableColumn name="26-03-2026" id="7"/>
    <tableColumn name="26-02-2028" id="8"/>
    <tableColumn name="05-03-2028" id="9"/>
    <tableColumn name="26-02-2029" id="10"/>
    <tableColumn name="05-03-2029" id="11"/>
    <tableColumn name="26-02-2030" id="12"/>
    <tableColumn name="05-03-2030" id="13"/>
    <tableColumn name="26-02-2031" id="14"/>
    <tableColumn name="05-03-2031" id="15"/>
    <tableColumn name="26-02-2032" id="16"/>
    <tableColumn name="05-03-2032" id="17"/>
    <tableColumn name="26-02-2033" id="18"/>
    <tableColumn name="05-03-2033" id="19"/>
    <tableColumn name="Asistencia (%)" id="20"/>
    <tableColumn name="U-I: Arq. Web (5%) +1" id="21"/>
    <tableColumn name="U-II: Lab/Git (10%) +1" id="22"/>
    <tableColumn name="U-III: HTML/CSS (10%) +1" id="23"/>
    <tableColumn name="U-IV: UML/PHP (10%) +1" id="24"/>
    <tableColumn name="U-V: PSR-4 (15%)" id="25"/>
    <tableColumn name="TOTAL FASE I (50%)" id="26"/>
    <tableColumn name="ESTATUS" id="27"/>
  </tableColumns>
  <tableStyleInfo name="Programación II-style" showColumnStripes="0" showFirstColumn="1" showLastColumn="1" showRowStripes="1"/>
</table>
</file>

<file path=xl/tables/table2.xml><?xml version="1.0" encoding="utf-8"?>
<table xmlns="http://schemas.openxmlformats.org/spreadsheetml/2006/main" ref="A5:AA28" displayName="Basedatos" name="Basedatos" id="2">
  <tableColumns count="27">
    <tableColumn name="N°" id="1"/>
    <tableColumn name="Cédula" id="2"/>
    <tableColumn name="Apellidos y Nombres" id="3"/>
    <tableColumn name="26-02-2026" id="4"/>
    <tableColumn name="05-03-2026" id="5"/>
    <tableColumn name="12-03-2026" id="6"/>
    <tableColumn name="19-03-2026" id="7"/>
    <tableColumn name="26-02-2028" id="8"/>
    <tableColumn name="05-03-2028" id="9"/>
    <tableColumn name="26-02-2029" id="10"/>
    <tableColumn name="05-03-2029" id="11"/>
    <tableColumn name="26-02-2030" id="12"/>
    <tableColumn name="05-03-2030" id="13"/>
    <tableColumn name="26-02-2031" id="14"/>
    <tableColumn name="05-03-2031" id="15"/>
    <tableColumn name="26-02-2032" id="16"/>
    <tableColumn name="05-03-2032" id="17"/>
    <tableColumn name="26-02-2033" id="18"/>
    <tableColumn name="05-03-2033" id="19"/>
    <tableColumn name="Asistencia (%)" id="20"/>
    <tableColumn name="Columna 21" id="21"/>
    <tableColumn name="Columna 22" id="22"/>
    <tableColumn name="U-III: HTML/CSS (10%) +1" id="23"/>
    <tableColumn name="U-IV: UML/PHP (10%) +1" id="24"/>
    <tableColumn name="U-V: PSR-4 (15%)" id="25"/>
    <tableColumn name="TOTAL FASE I (50%)" id="26"/>
    <tableColumn name="ESTATUS" id="27"/>
  </tableColumns>
  <tableStyleInfo name="Base de 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0.88"/>
    <col customWidth="1" min="3" max="3" width="25.13"/>
    <col customWidth="1" min="4" max="4" width="4.38"/>
    <col customWidth="1" min="5" max="5" width="5.25"/>
    <col customWidth="1" min="6" max="6" width="4.88"/>
    <col customWidth="1" min="7" max="7" width="5.0"/>
    <col customWidth="1" min="8" max="8" width="4.13"/>
    <col customWidth="1" min="9" max="9" width="3.75"/>
    <col customWidth="1" min="10" max="10" width="3.63"/>
    <col customWidth="1" min="11" max="11" width="3.25"/>
    <col customWidth="1" min="12" max="12" width="3.0"/>
    <col customWidth="1" min="13" max="13" width="3.38"/>
    <col customWidth="1" min="14" max="14" width="2.63"/>
    <col customWidth="1" min="15" max="15" width="3.25"/>
    <col customWidth="1" min="16" max="16" width="3.13"/>
    <col customWidth="1" min="17" max="17" width="3.75"/>
    <col customWidth="1" min="18" max="18" width="4.13"/>
    <col customWidth="1" min="19" max="19" width="6.13"/>
    <col customWidth="1" min="20" max="21" width="21.0"/>
    <col customWidth="1" min="22" max="22" width="21.25"/>
    <col customWidth="1" hidden="1" min="23" max="23" width="24.38"/>
    <col customWidth="1" hidden="1" min="24" max="24" width="23.75"/>
    <col customWidth="1" hidden="1" min="25" max="25" width="18.0"/>
    <col customWidth="1" min="26" max="26" width="20.2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</row>
    <row r="2">
      <c r="A2" s="3" t="s">
        <v>1</v>
      </c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 t="s">
        <v>3</v>
      </c>
      <c r="V2" s="3" t="s">
        <v>4</v>
      </c>
      <c r="W2" s="4"/>
      <c r="X2" s="4"/>
      <c r="Y2" s="4"/>
      <c r="Z2" s="4"/>
      <c r="AA2" s="4"/>
    </row>
    <row r="3">
      <c r="A3" s="3" t="s">
        <v>5</v>
      </c>
      <c r="B3" s="4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6</v>
      </c>
      <c r="T3" s="4"/>
      <c r="U3" s="4"/>
      <c r="V3" s="4"/>
      <c r="W3" s="4"/>
      <c r="X3" s="4"/>
      <c r="Y3" s="4"/>
      <c r="Z3" s="4"/>
      <c r="AA3" s="4"/>
    </row>
    <row r="5" ht="53.25" customHeight="1">
      <c r="A5" s="5" t="s">
        <v>7</v>
      </c>
      <c r="B5" s="5" t="s">
        <v>8</v>
      </c>
      <c r="C5" s="5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6" t="s">
        <v>25</v>
      </c>
      <c r="T5" s="5" t="s">
        <v>26</v>
      </c>
      <c r="U5" s="5" t="s">
        <v>27</v>
      </c>
      <c r="V5" s="5" t="s">
        <v>28</v>
      </c>
      <c r="W5" s="5" t="s">
        <v>29</v>
      </c>
      <c r="X5" s="5" t="s">
        <v>30</v>
      </c>
      <c r="Y5" s="5" t="s">
        <v>31</v>
      </c>
      <c r="Z5" s="5" t="s">
        <v>32</v>
      </c>
      <c r="AA5" s="5" t="s">
        <v>33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ht="22.5" customHeight="1">
      <c r="A6" s="8">
        <v>1.0</v>
      </c>
      <c r="B6" s="8">
        <v>1.7874384E7</v>
      </c>
      <c r="C6" s="8" t="s">
        <v>34</v>
      </c>
      <c r="D6" s="9" t="b">
        <v>0</v>
      </c>
      <c r="E6" s="8" t="b">
        <v>1</v>
      </c>
      <c r="F6" s="9" t="b">
        <v>0</v>
      </c>
      <c r="G6" s="9" t="b">
        <v>0</v>
      </c>
      <c r="H6" s="9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9" t="b">
        <v>0</v>
      </c>
      <c r="Q6" s="9" t="b">
        <v>0</v>
      </c>
      <c r="R6" s="10" t="b">
        <v>0</v>
      </c>
      <c r="S6" s="11" t="b">
        <v>0</v>
      </c>
      <c r="T6" s="8"/>
      <c r="U6" s="8">
        <v>20.0</v>
      </c>
      <c r="V6" s="12"/>
      <c r="W6" s="12"/>
      <c r="X6" s="12"/>
      <c r="Y6" s="12"/>
      <c r="Z6" s="12">
        <f>(U6*0.25) + (V6*0.5) + (W6*0.5) + (X6*0.5) + (Y6*0.75)</f>
        <v>5</v>
      </c>
      <c r="AA6" s="12" t="str">
        <f>IF(AND(Evaluaciones[[#HEADERS],[TOTAL FASE I (50%)]]&gt;=30, Evaluaciones[[#HEADERS],[05-03-2033]]&gt;=75), "APROBADO", "REPROBADO")</f>
        <v>APROBADO</v>
      </c>
    </row>
    <row r="7" ht="22.5" customHeight="1">
      <c r="A7" s="8">
        <v>2.0</v>
      </c>
      <c r="B7" s="8">
        <v>2.7881205E7</v>
      </c>
      <c r="C7" s="8" t="s">
        <v>35</v>
      </c>
      <c r="D7" s="8" t="b">
        <v>1</v>
      </c>
      <c r="E7" s="8" t="b">
        <v>1</v>
      </c>
      <c r="F7" s="9" t="b">
        <v>0</v>
      </c>
      <c r="G7" s="9" t="b">
        <v>0</v>
      </c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9" t="b">
        <v>0</v>
      </c>
      <c r="Q7" s="9" t="b">
        <v>0</v>
      </c>
      <c r="R7" s="10" t="b">
        <v>0</v>
      </c>
      <c r="S7" s="11" t="b">
        <v>0</v>
      </c>
      <c r="T7" s="8"/>
      <c r="U7" s="8">
        <v>17.0</v>
      </c>
      <c r="V7" s="12"/>
      <c r="W7" s="12"/>
      <c r="X7" s="12"/>
      <c r="Y7" s="12"/>
      <c r="Z7" s="12"/>
      <c r="AA7" s="12" t="str">
        <f>IF(AND(Evaluaciones[[#HEADERS],[TOTAL FASE I (50%)]]&gt;=30, Evaluaciones[[#HEADERS],[05-03-2033]]&gt;=75), "APROBADO", "REPROBADO")</f>
        <v>APROBADO</v>
      </c>
    </row>
    <row r="8" ht="22.5" customHeight="1">
      <c r="A8" s="8">
        <v>3.0</v>
      </c>
      <c r="B8" s="8">
        <v>2.999784E7</v>
      </c>
      <c r="C8" s="8" t="s">
        <v>36</v>
      </c>
      <c r="D8" s="8" t="b">
        <v>1</v>
      </c>
      <c r="E8" s="8" t="b">
        <v>1</v>
      </c>
      <c r="F8" s="9" t="b">
        <v>0</v>
      </c>
      <c r="G8" s="9" t="b">
        <v>0</v>
      </c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9" t="b">
        <v>0</v>
      </c>
      <c r="Q8" s="9" t="b">
        <v>0</v>
      </c>
      <c r="R8" s="10" t="b">
        <v>0</v>
      </c>
      <c r="S8" s="10" t="b">
        <v>0</v>
      </c>
      <c r="T8" s="8"/>
      <c r="U8" s="8">
        <v>12.0</v>
      </c>
      <c r="V8" s="12"/>
      <c r="W8" s="12"/>
      <c r="X8" s="12"/>
      <c r="Y8" s="12"/>
      <c r="Z8" s="12"/>
      <c r="AA8" s="12" t="str">
        <f>IF(AND(Evaluaciones[[#HEADERS],[TOTAL FASE I (50%)]]&gt;=30, Evaluaciones[[#HEADERS],[05-03-2033]]&gt;=75), "APROBADO", "REPROBADO")</f>
        <v>APROBADO</v>
      </c>
    </row>
    <row r="9" ht="22.5" customHeight="1">
      <c r="A9" s="8">
        <v>4.0</v>
      </c>
      <c r="B9" s="8">
        <v>3.044819E7</v>
      </c>
      <c r="C9" s="8" t="s">
        <v>37</v>
      </c>
      <c r="D9" s="8" t="b">
        <v>1</v>
      </c>
      <c r="E9" s="8" t="b">
        <v>1</v>
      </c>
      <c r="F9" s="9" t="b">
        <v>0</v>
      </c>
      <c r="G9" s="9" t="b">
        <v>0</v>
      </c>
      <c r="H9" s="9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9" t="b">
        <v>0</v>
      </c>
      <c r="Q9" s="9" t="b">
        <v>0</v>
      </c>
      <c r="R9" s="10" t="b">
        <v>0</v>
      </c>
      <c r="S9" s="11" t="b">
        <v>0</v>
      </c>
      <c r="T9" s="8"/>
      <c r="U9" s="8">
        <v>16.0</v>
      </c>
      <c r="V9" s="12"/>
      <c r="W9" s="12"/>
      <c r="X9" s="12"/>
      <c r="Y9" s="12"/>
      <c r="Z9" s="12"/>
      <c r="AA9" s="12" t="str">
        <f>IF(AND(Evaluaciones[[#HEADERS],[TOTAL FASE I (50%)]]&gt;=30, Evaluaciones[[#HEADERS],[05-03-2033]]&gt;=75), "APROBADO", "REPROBADO")</f>
        <v>APROBADO</v>
      </c>
    </row>
    <row r="10" ht="22.5" customHeight="1">
      <c r="A10" s="8">
        <v>5.0</v>
      </c>
      <c r="B10" s="8">
        <v>3.059151E7</v>
      </c>
      <c r="C10" s="8" t="s">
        <v>38</v>
      </c>
      <c r="D10" s="8" t="b">
        <v>1</v>
      </c>
      <c r="E10" s="8" t="b">
        <v>1</v>
      </c>
      <c r="F10" s="9" t="b">
        <v>0</v>
      </c>
      <c r="G10" s="9" t="b">
        <v>0</v>
      </c>
      <c r="H10" s="9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9" t="b">
        <v>0</v>
      </c>
      <c r="Q10" s="9" t="b">
        <v>0</v>
      </c>
      <c r="R10" s="10" t="b">
        <v>0</v>
      </c>
      <c r="S10" s="11" t="b">
        <v>0</v>
      </c>
      <c r="T10" s="8"/>
      <c r="U10" s="8">
        <v>20.0</v>
      </c>
      <c r="V10" s="12"/>
      <c r="W10" s="12"/>
      <c r="X10" s="12"/>
      <c r="Y10" s="12"/>
      <c r="Z10" s="12"/>
      <c r="AA10" s="12" t="str">
        <f>IF(AND(Evaluaciones[[#HEADERS],[TOTAL FASE I (50%)]]&gt;=30, Evaluaciones[[#HEADERS],[05-03-2033]]&gt;=75), "APROBADO", "REPROBADO")</f>
        <v>APROBADO</v>
      </c>
    </row>
    <row r="11" ht="22.5" customHeight="1">
      <c r="A11" s="8">
        <v>6.0</v>
      </c>
      <c r="B11" s="8">
        <v>3.0676087E7</v>
      </c>
      <c r="C11" s="8" t="s">
        <v>39</v>
      </c>
      <c r="D11" s="8" t="b">
        <v>1</v>
      </c>
      <c r="E11" s="9" t="b">
        <v>0</v>
      </c>
      <c r="F11" s="9" t="b">
        <v>0</v>
      </c>
      <c r="G11" s="9" t="b">
        <v>0</v>
      </c>
      <c r="H11" s="9" t="b">
        <v>0</v>
      </c>
      <c r="I11" s="9" t="b">
        <v>0</v>
      </c>
      <c r="J11" s="9" t="b">
        <v>0</v>
      </c>
      <c r="K11" s="9" t="b">
        <v>0</v>
      </c>
      <c r="L11" s="8" t="b">
        <v>0</v>
      </c>
      <c r="M11" s="9" t="b">
        <v>0</v>
      </c>
      <c r="N11" s="9" t="b">
        <v>0</v>
      </c>
      <c r="O11" s="9" t="b">
        <v>0</v>
      </c>
      <c r="P11" s="9" t="b">
        <v>0</v>
      </c>
      <c r="Q11" s="9" t="b">
        <v>0</v>
      </c>
      <c r="R11" s="10" t="b">
        <v>0</v>
      </c>
      <c r="S11" s="10" t="b">
        <v>0</v>
      </c>
      <c r="T11" s="8"/>
      <c r="U11" s="8">
        <v>13.0</v>
      </c>
      <c r="V11" s="12"/>
      <c r="W11" s="12"/>
      <c r="X11" s="12"/>
      <c r="Y11" s="12"/>
      <c r="Z11" s="12"/>
      <c r="AA11" s="12" t="str">
        <f>IF(AND(Evaluaciones[[#HEADERS],[TOTAL FASE I (50%)]]&gt;=30, Evaluaciones[[#HEADERS],[05-03-2033]]&gt;=75), "APROBADO", "REPROBADO")</f>
        <v>APROBADO</v>
      </c>
    </row>
    <row r="12" ht="22.5" customHeight="1">
      <c r="A12" s="8">
        <v>7.0</v>
      </c>
      <c r="B12" s="8">
        <v>3.1027477E7</v>
      </c>
      <c r="C12" s="8" t="s">
        <v>40</v>
      </c>
      <c r="D12" s="9" t="b">
        <v>0</v>
      </c>
      <c r="E12" s="8" t="b">
        <v>1</v>
      </c>
      <c r="F12" s="9" t="b">
        <v>0</v>
      </c>
      <c r="G12" s="9" t="b">
        <v>0</v>
      </c>
      <c r="H12" s="9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9" t="b">
        <v>0</v>
      </c>
      <c r="Q12" s="9" t="b">
        <v>0</v>
      </c>
      <c r="R12" s="10" t="b">
        <v>0</v>
      </c>
      <c r="S12" s="10" t="b">
        <v>0</v>
      </c>
      <c r="T12" s="8"/>
      <c r="U12" s="8">
        <v>20.0</v>
      </c>
      <c r="V12" s="12"/>
      <c r="W12" s="12"/>
      <c r="X12" s="12"/>
      <c r="Y12" s="12"/>
      <c r="Z12" s="12"/>
      <c r="AA12" s="12" t="str">
        <f>IF(AND(Evaluaciones[[#HEADERS],[TOTAL FASE I (50%)]]&gt;=30, Evaluaciones[[#HEADERS],[05-03-2033]]&gt;=75), "APROBADO", "REPROBADO")</f>
        <v>APROBADO</v>
      </c>
    </row>
    <row r="13" ht="22.5" customHeight="1">
      <c r="A13" s="8">
        <v>8.0</v>
      </c>
      <c r="B13" s="8">
        <v>3.1181708E7</v>
      </c>
      <c r="C13" s="8" t="s">
        <v>41</v>
      </c>
      <c r="D13" s="9" t="b">
        <v>0</v>
      </c>
      <c r="E13" s="8" t="b">
        <v>1</v>
      </c>
      <c r="F13" s="9" t="b">
        <v>0</v>
      </c>
      <c r="G13" s="9" t="b">
        <v>0</v>
      </c>
      <c r="H13" s="9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9" t="b">
        <v>0</v>
      </c>
      <c r="Q13" s="9" t="b">
        <v>0</v>
      </c>
      <c r="R13" s="10" t="b">
        <v>0</v>
      </c>
      <c r="S13" s="10" t="b">
        <v>0</v>
      </c>
      <c r="T13" s="8"/>
      <c r="U13" s="8">
        <v>19.0</v>
      </c>
      <c r="V13" s="12"/>
      <c r="W13" s="12"/>
      <c r="X13" s="12"/>
      <c r="Y13" s="12"/>
      <c r="Z13" s="12"/>
      <c r="AA13" s="12" t="str">
        <f>IF(AND(Evaluaciones[[#HEADERS],[TOTAL FASE I (50%)]]&gt;=30, Evaluaciones[[#HEADERS],[05-03-2033]]&gt;=75), "APROBADO", "REPROBADO")</f>
        <v>APROBADO</v>
      </c>
    </row>
    <row r="14" ht="22.5" customHeight="1">
      <c r="A14" s="8">
        <v>9.0</v>
      </c>
      <c r="B14" s="8">
        <v>3.1272198E7</v>
      </c>
      <c r="C14" s="8" t="s">
        <v>42</v>
      </c>
      <c r="D14" s="8" t="b">
        <v>1</v>
      </c>
      <c r="E14" s="8" t="b">
        <v>1</v>
      </c>
      <c r="F14" s="9" t="b">
        <v>0</v>
      </c>
      <c r="G14" s="9" t="b">
        <v>0</v>
      </c>
      <c r="H14" s="9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9" t="b">
        <v>0</v>
      </c>
      <c r="Q14" s="9" t="b">
        <v>0</v>
      </c>
      <c r="R14" s="10" t="b">
        <v>0</v>
      </c>
      <c r="S14" s="10" t="b">
        <v>0</v>
      </c>
      <c r="T14" s="8"/>
      <c r="U14" s="8">
        <v>20.0</v>
      </c>
      <c r="V14" s="12"/>
      <c r="W14" s="12"/>
      <c r="X14" s="12"/>
      <c r="Y14" s="12"/>
      <c r="Z14" s="12"/>
      <c r="AA14" s="12" t="str">
        <f>IF(AND(Evaluaciones[[#HEADERS],[TOTAL FASE I (50%)]]&gt;=30, Evaluaciones[[#HEADERS],[05-03-2033]]&gt;=75), "APROBADO", "REPROBADO")</f>
        <v>APROBADO</v>
      </c>
    </row>
    <row r="15" ht="22.5" customHeight="1">
      <c r="A15" s="8">
        <v>10.0</v>
      </c>
      <c r="B15" s="8">
        <v>3.1290839E7</v>
      </c>
      <c r="C15" s="8" t="s">
        <v>43</v>
      </c>
      <c r="D15" s="8" t="b">
        <v>1</v>
      </c>
      <c r="E15" s="8" t="b">
        <v>1</v>
      </c>
      <c r="F15" s="9" t="b">
        <v>0</v>
      </c>
      <c r="G15" s="9" t="b">
        <v>0</v>
      </c>
      <c r="H15" s="9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9" t="b">
        <v>0</v>
      </c>
      <c r="Q15" s="9" t="b">
        <v>0</v>
      </c>
      <c r="R15" s="10" t="b">
        <v>0</v>
      </c>
      <c r="S15" s="10" t="b">
        <v>0</v>
      </c>
      <c r="T15" s="8"/>
      <c r="U15" s="8">
        <v>14.0</v>
      </c>
      <c r="V15" s="12"/>
      <c r="W15" s="12"/>
      <c r="X15" s="12"/>
      <c r="Y15" s="12"/>
      <c r="Z15" s="12"/>
      <c r="AA15" s="12" t="str">
        <f>IF(AND(Evaluaciones[[#HEADERS],[TOTAL FASE I (50%)]]&gt;=30, Evaluaciones[[#HEADERS],[05-03-2033]]&gt;=75), "APROBADO", "REPROBADO")</f>
        <v>APROBADO</v>
      </c>
    </row>
    <row r="16" ht="22.5" customHeight="1">
      <c r="A16" s="8">
        <v>11.0</v>
      </c>
      <c r="B16" s="8">
        <v>3.1563216E7</v>
      </c>
      <c r="C16" s="8" t="s">
        <v>44</v>
      </c>
      <c r="D16" s="8" t="b">
        <v>1</v>
      </c>
      <c r="E16" s="8" t="b">
        <v>1</v>
      </c>
      <c r="F16" s="9" t="b">
        <v>0</v>
      </c>
      <c r="G16" s="9" t="b">
        <v>0</v>
      </c>
      <c r="H16" s="9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9" t="b">
        <v>0</v>
      </c>
      <c r="Q16" s="9" t="b">
        <v>0</v>
      </c>
      <c r="R16" s="10" t="b">
        <v>0</v>
      </c>
      <c r="S16" s="11" t="b">
        <v>0</v>
      </c>
      <c r="T16" s="8"/>
      <c r="U16" s="8">
        <v>18.0</v>
      </c>
      <c r="V16" s="12"/>
      <c r="W16" s="12"/>
      <c r="X16" s="12"/>
      <c r="Y16" s="12"/>
      <c r="Z16" s="12"/>
      <c r="AA16" s="12" t="str">
        <f>IF(AND(Evaluaciones[[#HEADERS],[TOTAL FASE I (50%)]]&gt;=30, Evaluaciones[[#HEADERS],[05-03-2033]]&gt;=75), "APROBADO", "REPROBADO")</f>
        <v>APROBADO</v>
      </c>
    </row>
    <row r="17" ht="22.5" customHeight="1">
      <c r="A17" s="8">
        <v>12.0</v>
      </c>
      <c r="B17" s="8">
        <v>3.1631276E7</v>
      </c>
      <c r="C17" s="8" t="s">
        <v>45</v>
      </c>
      <c r="D17" s="9" t="b">
        <v>0</v>
      </c>
      <c r="E17" s="8" t="b">
        <v>1</v>
      </c>
      <c r="F17" s="9" t="b">
        <v>0</v>
      </c>
      <c r="G17" s="9" t="b">
        <v>0</v>
      </c>
      <c r="H17" s="9" t="b">
        <v>0</v>
      </c>
      <c r="I17" s="9" t="b">
        <v>0</v>
      </c>
      <c r="J17" s="9" t="b">
        <v>0</v>
      </c>
      <c r="K17" s="9" t="b">
        <v>0</v>
      </c>
      <c r="L17" s="9" t="b">
        <v>0</v>
      </c>
      <c r="M17" s="9" t="b">
        <v>0</v>
      </c>
      <c r="N17" s="9" t="b">
        <v>0</v>
      </c>
      <c r="O17" s="9" t="b">
        <v>0</v>
      </c>
      <c r="P17" s="9" t="b">
        <v>0</v>
      </c>
      <c r="Q17" s="9" t="b">
        <v>0</v>
      </c>
      <c r="R17" s="10" t="b">
        <v>0</v>
      </c>
      <c r="S17" s="11" t="b">
        <v>0</v>
      </c>
      <c r="T17" s="8"/>
      <c r="U17" s="8">
        <v>18.0</v>
      </c>
      <c r="V17" s="12"/>
      <c r="W17" s="12"/>
      <c r="X17" s="12"/>
      <c r="Y17" s="12"/>
      <c r="Z17" s="12"/>
      <c r="AA17" s="12" t="str">
        <f>IF(AND(Evaluaciones[[#HEADERS],[TOTAL FASE I (50%)]]&gt;=30, Evaluaciones[[#HEADERS],[05-03-2033]]&gt;=75), "APROBADO", "REPROBADO")</f>
        <v>APROBADO</v>
      </c>
    </row>
    <row r="18" ht="22.5" customHeight="1">
      <c r="A18" s="8">
        <v>13.0</v>
      </c>
      <c r="B18" s="8">
        <v>3.1766281E7</v>
      </c>
      <c r="C18" s="8" t="s">
        <v>46</v>
      </c>
      <c r="D18" s="9" t="b">
        <v>0</v>
      </c>
      <c r="E18" s="8" t="b">
        <v>1</v>
      </c>
      <c r="F18" s="9" t="b">
        <v>0</v>
      </c>
      <c r="G18" s="9" t="b">
        <v>0</v>
      </c>
      <c r="H18" s="9" t="b">
        <v>0</v>
      </c>
      <c r="I18" s="9" t="b">
        <v>0</v>
      </c>
      <c r="J18" s="9" t="b">
        <v>0</v>
      </c>
      <c r="K18" s="9" t="b">
        <v>0</v>
      </c>
      <c r="L18" s="9" t="b">
        <v>0</v>
      </c>
      <c r="M18" s="9" t="b">
        <v>0</v>
      </c>
      <c r="N18" s="9" t="b">
        <v>0</v>
      </c>
      <c r="O18" s="9" t="b">
        <v>0</v>
      </c>
      <c r="P18" s="9" t="b">
        <v>0</v>
      </c>
      <c r="Q18" s="9" t="b">
        <v>0</v>
      </c>
      <c r="R18" s="10" t="b">
        <v>0</v>
      </c>
      <c r="S18" s="10" t="b">
        <v>0</v>
      </c>
      <c r="T18" s="8"/>
      <c r="U18" s="8">
        <v>16.0</v>
      </c>
      <c r="V18" s="12"/>
      <c r="W18" s="12"/>
      <c r="X18" s="12"/>
      <c r="Y18" s="12"/>
      <c r="Z18" s="12"/>
      <c r="AA18" s="12" t="str">
        <f>IF(AND(Evaluaciones[[#HEADERS],[TOTAL FASE I (50%)]]&gt;=30, Evaluaciones[[#HEADERS],[05-03-2033]]&gt;=75), "APROBADO", "REPROBADO")</f>
        <v>APROBADO</v>
      </c>
    </row>
    <row r="19" ht="22.5" customHeight="1">
      <c r="A19" s="8">
        <v>14.0</v>
      </c>
      <c r="B19" s="8">
        <v>3.1771096E7</v>
      </c>
      <c r="C19" s="8" t="s">
        <v>47</v>
      </c>
      <c r="D19" s="8" t="b">
        <v>1</v>
      </c>
      <c r="E19" s="8" t="b">
        <v>1</v>
      </c>
      <c r="F19" s="9" t="b">
        <v>0</v>
      </c>
      <c r="G19" s="9" t="b">
        <v>0</v>
      </c>
      <c r="H19" s="9" t="b">
        <v>0</v>
      </c>
      <c r="I19" s="9" t="b">
        <v>0</v>
      </c>
      <c r="J19" s="9" t="b">
        <v>0</v>
      </c>
      <c r="K19" s="9" t="b">
        <v>0</v>
      </c>
      <c r="L19" s="9" t="b">
        <v>0</v>
      </c>
      <c r="M19" s="9" t="b">
        <v>0</v>
      </c>
      <c r="N19" s="9" t="b">
        <v>0</v>
      </c>
      <c r="O19" s="9" t="b">
        <v>0</v>
      </c>
      <c r="P19" s="9" t="b">
        <v>0</v>
      </c>
      <c r="Q19" s="9" t="b">
        <v>0</v>
      </c>
      <c r="R19" s="10" t="b">
        <v>0</v>
      </c>
      <c r="S19" s="11" t="b">
        <v>0</v>
      </c>
      <c r="T19" s="8"/>
      <c r="U19" s="8"/>
      <c r="V19" s="12"/>
      <c r="W19" s="12"/>
      <c r="X19" s="12"/>
      <c r="Y19" s="12"/>
      <c r="Z19" s="12"/>
      <c r="AA19" s="12" t="str">
        <f>IF(AND(Evaluaciones[[#HEADERS],[TOTAL FASE I (50%)]]&gt;=30, Evaluaciones[[#HEADERS],[05-03-2033]]&gt;=75), "APROBADO", "REPROBADO")</f>
        <v>APROBADO</v>
      </c>
    </row>
    <row r="20" ht="22.5" customHeight="1">
      <c r="A20" s="8">
        <v>15.0</v>
      </c>
      <c r="B20" s="8">
        <v>3.184278E7</v>
      </c>
      <c r="C20" s="8" t="s">
        <v>48</v>
      </c>
      <c r="D20" s="8" t="b">
        <v>1</v>
      </c>
      <c r="E20" s="9" t="b">
        <v>0</v>
      </c>
      <c r="F20" s="9" t="b">
        <v>0</v>
      </c>
      <c r="G20" s="9" t="b">
        <v>0</v>
      </c>
      <c r="H20" s="9" t="b">
        <v>0</v>
      </c>
      <c r="I20" s="9" t="b">
        <v>0</v>
      </c>
      <c r="J20" s="9" t="b">
        <v>0</v>
      </c>
      <c r="K20" s="9" t="b">
        <v>0</v>
      </c>
      <c r="L20" s="9" t="b">
        <v>0</v>
      </c>
      <c r="M20" s="9" t="b">
        <v>0</v>
      </c>
      <c r="N20" s="9" t="b">
        <v>0</v>
      </c>
      <c r="O20" s="9" t="b">
        <v>0</v>
      </c>
      <c r="P20" s="9" t="b">
        <v>0</v>
      </c>
      <c r="Q20" s="9" t="b">
        <v>0</v>
      </c>
      <c r="R20" s="10" t="b">
        <v>0</v>
      </c>
      <c r="S20" s="11" t="b">
        <v>0</v>
      </c>
      <c r="T20" s="8"/>
      <c r="U20" s="8">
        <v>19.0</v>
      </c>
      <c r="V20" s="12"/>
      <c r="W20" s="12"/>
      <c r="X20" s="12"/>
      <c r="Y20" s="12"/>
      <c r="Z20" s="12"/>
      <c r="AA20" s="12" t="str">
        <f>IF(AND(Evaluaciones[[#HEADERS],[TOTAL FASE I (50%)]]&gt;=30, Evaluaciones[[#HEADERS],[05-03-2033]]&gt;=75), "APROBADO", "REPROBADO")</f>
        <v>APROBADO</v>
      </c>
    </row>
    <row r="21" ht="22.5" customHeight="1">
      <c r="A21" s="8">
        <v>16.0</v>
      </c>
      <c r="B21" s="8">
        <v>3.1843918E7</v>
      </c>
      <c r="C21" s="8" t="s">
        <v>49</v>
      </c>
      <c r="D21" s="8" t="b">
        <v>1</v>
      </c>
      <c r="E21" s="8" t="b">
        <v>1</v>
      </c>
      <c r="F21" s="9" t="b">
        <v>0</v>
      </c>
      <c r="G21" s="9" t="b">
        <v>0</v>
      </c>
      <c r="H21" s="9" t="b">
        <v>0</v>
      </c>
      <c r="I21" s="9" t="b">
        <v>0</v>
      </c>
      <c r="J21" s="9" t="b">
        <v>0</v>
      </c>
      <c r="K21" s="9" t="b">
        <v>0</v>
      </c>
      <c r="L21" s="9" t="b">
        <v>0</v>
      </c>
      <c r="M21" s="9" t="b">
        <v>0</v>
      </c>
      <c r="N21" s="9" t="b">
        <v>0</v>
      </c>
      <c r="O21" s="9" t="b">
        <v>0</v>
      </c>
      <c r="P21" s="9" t="b">
        <v>0</v>
      </c>
      <c r="Q21" s="9" t="b">
        <v>0</v>
      </c>
      <c r="R21" s="10" t="b">
        <v>0</v>
      </c>
      <c r="S21" s="11" t="b">
        <v>0</v>
      </c>
      <c r="T21" s="8"/>
      <c r="U21" s="8">
        <v>18.0</v>
      </c>
      <c r="V21" s="12"/>
      <c r="W21" s="12"/>
      <c r="X21" s="12"/>
      <c r="Y21" s="12"/>
      <c r="Z21" s="12"/>
      <c r="AA21" s="12" t="str">
        <f>IF(AND(Evaluaciones[[#HEADERS],[TOTAL FASE I (50%)]]&gt;=30, Evaluaciones[[#HEADERS],[05-03-2033]]&gt;=75), "APROBADO", "REPROBADO")</f>
        <v>APROBADO</v>
      </c>
    </row>
    <row r="22" ht="22.5" customHeight="1">
      <c r="A22" s="8">
        <v>17.0</v>
      </c>
      <c r="B22" s="8">
        <v>3.1930419E7</v>
      </c>
      <c r="C22" s="8" t="s">
        <v>50</v>
      </c>
      <c r="D22" s="8" t="b">
        <v>1</v>
      </c>
      <c r="E22" s="8" t="b">
        <v>1</v>
      </c>
      <c r="F22" s="9" t="b">
        <v>0</v>
      </c>
      <c r="G22" s="9" t="b">
        <v>0</v>
      </c>
      <c r="H22" s="9" t="b">
        <v>0</v>
      </c>
      <c r="I22" s="9" t="b">
        <v>0</v>
      </c>
      <c r="J22" s="9" t="b">
        <v>0</v>
      </c>
      <c r="K22" s="9" t="b">
        <v>0</v>
      </c>
      <c r="L22" s="9" t="b">
        <v>0</v>
      </c>
      <c r="M22" s="9" t="b">
        <v>0</v>
      </c>
      <c r="N22" s="9" t="b">
        <v>0</v>
      </c>
      <c r="O22" s="9" t="b">
        <v>0</v>
      </c>
      <c r="P22" s="9" t="b">
        <v>0</v>
      </c>
      <c r="Q22" s="9" t="b">
        <v>0</v>
      </c>
      <c r="R22" s="10" t="b">
        <v>0</v>
      </c>
      <c r="S22" s="11" t="b">
        <v>0</v>
      </c>
      <c r="T22" s="8"/>
      <c r="U22" s="8">
        <v>18.0</v>
      </c>
      <c r="V22" s="12"/>
      <c r="W22" s="12"/>
      <c r="X22" s="12"/>
      <c r="Y22" s="12"/>
      <c r="Z22" s="12"/>
      <c r="AA22" s="12" t="str">
        <f>IF(AND(Evaluaciones[[#HEADERS],[TOTAL FASE I (50%)]]&gt;=30, Evaluaciones[[#HEADERS],[05-03-2033]]&gt;=75), "APROBADO", "REPROBADO")</f>
        <v>APROBADO</v>
      </c>
    </row>
    <row r="23" ht="22.5" customHeight="1">
      <c r="A23" s="8">
        <v>18.0</v>
      </c>
      <c r="B23" s="8">
        <v>3.2029044E7</v>
      </c>
      <c r="C23" s="8" t="s">
        <v>51</v>
      </c>
      <c r="D23" s="8" t="b">
        <v>1</v>
      </c>
      <c r="E23" s="8" t="b">
        <v>1</v>
      </c>
      <c r="F23" s="9" t="b">
        <v>0</v>
      </c>
      <c r="G23" s="9" t="b">
        <v>0</v>
      </c>
      <c r="H23" s="9" t="b">
        <v>0</v>
      </c>
      <c r="I23" s="9" t="b">
        <v>0</v>
      </c>
      <c r="J23" s="9" t="b">
        <v>0</v>
      </c>
      <c r="K23" s="9" t="b">
        <v>0</v>
      </c>
      <c r="L23" s="9" t="b">
        <v>0</v>
      </c>
      <c r="M23" s="9" t="b">
        <v>0</v>
      </c>
      <c r="N23" s="9" t="b">
        <v>0</v>
      </c>
      <c r="O23" s="9" t="b">
        <v>0</v>
      </c>
      <c r="P23" s="9" t="b">
        <v>0</v>
      </c>
      <c r="Q23" s="9" t="b">
        <v>0</v>
      </c>
      <c r="R23" s="10" t="b">
        <v>0</v>
      </c>
      <c r="S23" s="11" t="b">
        <v>0</v>
      </c>
      <c r="T23" s="8"/>
      <c r="U23" s="8">
        <v>20.0</v>
      </c>
      <c r="V23" s="12"/>
      <c r="W23" s="12"/>
      <c r="X23" s="12"/>
      <c r="Y23" s="12"/>
      <c r="Z23" s="12"/>
      <c r="AA23" s="12" t="str">
        <f>IF(AND(Evaluaciones[[#HEADERS],[TOTAL FASE I (50%)]]&gt;=30, Evaluaciones[[#HEADERS],[05-03-2033]]&gt;=75), "APROBADO", "REPROBADO")</f>
        <v>APROBADO</v>
      </c>
    </row>
    <row r="24" ht="22.5" customHeight="1">
      <c r="A24" s="8">
        <v>19.0</v>
      </c>
      <c r="B24" s="8">
        <v>3.2029299E7</v>
      </c>
      <c r="C24" s="8" t="s">
        <v>52</v>
      </c>
      <c r="D24" s="9" t="b">
        <v>0</v>
      </c>
      <c r="E24" s="9" t="b">
        <v>0</v>
      </c>
      <c r="F24" s="9" t="b">
        <v>0</v>
      </c>
      <c r="G24" s="9" t="b">
        <v>0</v>
      </c>
      <c r="H24" s="9" t="b">
        <v>0</v>
      </c>
      <c r="I24" s="9" t="b">
        <v>0</v>
      </c>
      <c r="J24" s="9" t="b">
        <v>0</v>
      </c>
      <c r="K24" s="9" t="b">
        <v>0</v>
      </c>
      <c r="L24" s="9" t="b">
        <v>0</v>
      </c>
      <c r="M24" s="9" t="b">
        <v>0</v>
      </c>
      <c r="N24" s="9" t="b">
        <v>0</v>
      </c>
      <c r="O24" s="9" t="b">
        <v>0</v>
      </c>
      <c r="P24" s="9" t="b">
        <v>0</v>
      </c>
      <c r="Q24" s="9" t="b">
        <v>0</v>
      </c>
      <c r="R24" s="10" t="b">
        <v>0</v>
      </c>
      <c r="S24" s="10" t="b">
        <v>0</v>
      </c>
      <c r="T24" s="8"/>
      <c r="U24" s="8">
        <v>13.0</v>
      </c>
      <c r="V24" s="12"/>
      <c r="W24" s="12"/>
      <c r="X24" s="12"/>
      <c r="Y24" s="12"/>
      <c r="Z24" s="12"/>
      <c r="AA24" s="12" t="str">
        <f>IF(AND(Evaluaciones[[#HEADERS],[TOTAL FASE I (50%)]]&gt;=30, Evaluaciones[[#HEADERS],[05-03-2033]]&gt;=75), "APROBADO", "REPROBADO")</f>
        <v>APROBADO</v>
      </c>
    </row>
    <row r="25" ht="22.5" customHeight="1">
      <c r="A25" s="8">
        <v>20.0</v>
      </c>
      <c r="B25" s="8">
        <v>3.2351814E7</v>
      </c>
      <c r="C25" s="8" t="s">
        <v>53</v>
      </c>
      <c r="D25" s="8" t="b">
        <v>1</v>
      </c>
      <c r="E25" s="8" t="b">
        <v>1</v>
      </c>
      <c r="F25" s="9" t="b">
        <v>0</v>
      </c>
      <c r="G25" s="9" t="b">
        <v>0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9" t="b">
        <v>0</v>
      </c>
      <c r="N25" s="9" t="b">
        <v>0</v>
      </c>
      <c r="O25" s="9" t="b">
        <v>0</v>
      </c>
      <c r="P25" s="9" t="b">
        <v>0</v>
      </c>
      <c r="Q25" s="9" t="b">
        <v>0</v>
      </c>
      <c r="R25" s="10" t="b">
        <v>0</v>
      </c>
      <c r="S25" s="11" t="b">
        <v>0</v>
      </c>
      <c r="T25" s="8"/>
      <c r="U25" s="8">
        <v>20.0</v>
      </c>
      <c r="V25" s="12"/>
      <c r="W25" s="12"/>
      <c r="X25" s="12"/>
      <c r="Y25" s="12"/>
      <c r="Z25" s="12"/>
      <c r="AA25" s="12" t="str">
        <f>IF(AND(Evaluaciones[[#HEADERS],[TOTAL FASE I (50%)]]&gt;=30, Evaluaciones[[#HEADERS],[05-03-2033]]&gt;=75), "APROBADO", "REPROBADO")</f>
        <v>APROBADO</v>
      </c>
    </row>
    <row r="26" ht="22.5" customHeight="1">
      <c r="A26" s="8">
        <v>21.0</v>
      </c>
      <c r="B26" s="8">
        <v>3.2351815E7</v>
      </c>
      <c r="C26" s="8" t="s">
        <v>54</v>
      </c>
      <c r="D26" s="8" t="b">
        <v>1</v>
      </c>
      <c r="E26" s="8" t="b">
        <v>1</v>
      </c>
      <c r="F26" s="9" t="b">
        <v>0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10" t="b">
        <v>0</v>
      </c>
      <c r="S26" s="11" t="b">
        <v>0</v>
      </c>
      <c r="T26" s="8"/>
      <c r="U26" s="8">
        <v>20.0</v>
      </c>
      <c r="V26" s="12"/>
      <c r="W26" s="12"/>
      <c r="X26" s="12"/>
      <c r="Y26" s="12"/>
      <c r="Z26" s="12"/>
      <c r="AA26" s="12" t="str">
        <f>IF(AND(Evaluaciones[[#HEADERS],[TOTAL FASE I (50%)]]&gt;=30, Evaluaciones[[#HEADERS],[05-03-2033]]&gt;=75), "APROBADO", "REPROBADO")</f>
        <v>APROBADO</v>
      </c>
    </row>
    <row r="27" ht="22.5" customHeight="1">
      <c r="A27" s="8">
        <v>22.0</v>
      </c>
      <c r="B27" s="8">
        <v>3.2705666E7</v>
      </c>
      <c r="C27" s="8" t="s">
        <v>55</v>
      </c>
      <c r="D27" s="8" t="b">
        <v>1</v>
      </c>
      <c r="E27" s="8" t="b">
        <v>1</v>
      </c>
      <c r="F27" s="9" t="b">
        <v>0</v>
      </c>
      <c r="G27" s="9" t="b">
        <v>0</v>
      </c>
      <c r="H27" s="9" t="b">
        <v>0</v>
      </c>
      <c r="I27" s="9" t="b">
        <v>0</v>
      </c>
      <c r="J27" s="9" t="b">
        <v>0</v>
      </c>
      <c r="K27" s="9" t="b">
        <v>0</v>
      </c>
      <c r="L27" s="9" t="b">
        <v>0</v>
      </c>
      <c r="M27" s="9" t="b">
        <v>0</v>
      </c>
      <c r="N27" s="9" t="b">
        <v>0</v>
      </c>
      <c r="O27" s="9" t="b">
        <v>0</v>
      </c>
      <c r="P27" s="9" t="b">
        <v>0</v>
      </c>
      <c r="Q27" s="9" t="b">
        <v>0</v>
      </c>
      <c r="R27" s="10" t="b">
        <v>0</v>
      </c>
      <c r="S27" s="11" t="b">
        <v>0</v>
      </c>
      <c r="T27" s="8"/>
      <c r="U27" s="8">
        <v>20.0</v>
      </c>
      <c r="V27" s="12"/>
      <c r="W27" s="12"/>
      <c r="X27" s="12"/>
      <c r="Y27" s="12"/>
      <c r="Z27" s="12"/>
      <c r="AA27" s="12" t="str">
        <f>IF(AND(Evaluaciones[[#HEADERS],[TOTAL FASE I (50%)]]&gt;=30, Evaluaciones[[#HEADERS],[05-03-2033]]&gt;=75), "APROBADO", "REPROBADO")</f>
        <v>APROBADO</v>
      </c>
    </row>
    <row r="28" ht="22.5" customHeight="1">
      <c r="A28" s="8">
        <v>23.0</v>
      </c>
      <c r="B28" s="8">
        <v>3.2774572E7</v>
      </c>
      <c r="C28" s="8" t="s">
        <v>56</v>
      </c>
      <c r="D28" s="8" t="b">
        <v>1</v>
      </c>
      <c r="E28" s="8" t="b">
        <v>1</v>
      </c>
      <c r="F28" s="9" t="b">
        <v>0</v>
      </c>
      <c r="G28" s="9" t="b">
        <v>0</v>
      </c>
      <c r="H28" s="9" t="b">
        <v>0</v>
      </c>
      <c r="I28" s="9" t="b">
        <v>0</v>
      </c>
      <c r="J28" s="9" t="b">
        <v>0</v>
      </c>
      <c r="K28" s="9" t="b">
        <v>0</v>
      </c>
      <c r="L28" s="9" t="b">
        <v>0</v>
      </c>
      <c r="M28" s="9" t="b">
        <v>0</v>
      </c>
      <c r="N28" s="9" t="b">
        <v>0</v>
      </c>
      <c r="O28" s="9" t="b">
        <v>0</v>
      </c>
      <c r="P28" s="9" t="b">
        <v>0</v>
      </c>
      <c r="Q28" s="9" t="b">
        <v>0</v>
      </c>
      <c r="R28" s="10" t="b">
        <v>0</v>
      </c>
      <c r="S28" s="11" t="b">
        <v>0</v>
      </c>
      <c r="T28" s="8"/>
      <c r="U28" s="8">
        <v>20.0</v>
      </c>
      <c r="V28" s="12"/>
      <c r="W28" s="12"/>
      <c r="X28" s="12"/>
      <c r="Y28" s="12"/>
      <c r="Z28" s="12"/>
      <c r="AA28" s="12" t="str">
        <f>IF(AND(Evaluaciones[[#HEADERS],[TOTAL FASE I (50%)]]&gt;=30, Evaluaciones[[#HEADERS],[05-03-2033]]&gt;=75), "APROBADO", "REPROBADO")</f>
        <v>APROBADO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2.88"/>
    <col customWidth="1" min="3" max="3" width="30.0"/>
    <col customWidth="1" min="4" max="4" width="6.13"/>
    <col customWidth="1" min="5" max="5" width="5.63"/>
    <col customWidth="1" min="6" max="6" width="6.0"/>
    <col customWidth="1" min="7" max="7" width="5.75"/>
    <col customWidth="1" hidden="1" min="8" max="8" width="4.13"/>
    <col customWidth="1" hidden="1" min="9" max="9" width="3.75"/>
    <col customWidth="1" hidden="1" min="10" max="10" width="3.63"/>
    <col customWidth="1" hidden="1" min="11" max="11" width="3.25"/>
    <col customWidth="1" hidden="1" min="12" max="12" width="3.0"/>
    <col customWidth="1" hidden="1" min="13" max="13" width="3.38"/>
    <col customWidth="1" hidden="1" min="14" max="14" width="2.63"/>
    <col customWidth="1" hidden="1" min="15" max="15" width="4.75"/>
    <col customWidth="1" hidden="1" min="16" max="16" width="4.25"/>
    <col customWidth="1" hidden="1" min="17" max="17" width="5.38"/>
    <col customWidth="1" hidden="1" min="18" max="18" width="4.88"/>
    <col customWidth="1" hidden="1" min="19" max="19" width="4.0"/>
    <col customWidth="1" min="20" max="20" width="10.5"/>
    <col customWidth="1" min="21" max="21" width="21.0"/>
    <col customWidth="1" min="22" max="22" width="21.25"/>
    <col customWidth="1" hidden="1" min="23" max="23" width="24.38"/>
    <col customWidth="1" hidden="1" min="24" max="24" width="23.75"/>
    <col customWidth="1" hidden="1" min="25" max="25" width="18.0"/>
    <col customWidth="1" min="26" max="26" width="20.25"/>
  </cols>
  <sheetData>
    <row r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5"/>
      <c r="W1" s="16"/>
      <c r="X1" s="16"/>
      <c r="Y1" s="16"/>
      <c r="Z1" s="16"/>
      <c r="AA1" s="16"/>
    </row>
    <row r="2">
      <c r="A2" s="17"/>
      <c r="B2" s="18"/>
      <c r="C2" s="19" t="s">
        <v>57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 t="s">
        <v>2</v>
      </c>
      <c r="T2" s="19"/>
      <c r="U2" s="19" t="s">
        <v>3</v>
      </c>
      <c r="V2" s="20" t="s">
        <v>4</v>
      </c>
      <c r="W2" s="18"/>
      <c r="X2" s="18"/>
      <c r="Y2" s="18"/>
      <c r="Z2" s="18"/>
      <c r="AA2" s="18"/>
    </row>
    <row r="3">
      <c r="A3" s="21"/>
      <c r="B3" s="22"/>
      <c r="C3" s="23" t="s">
        <v>5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 t="s">
        <v>6</v>
      </c>
      <c r="T3" s="22"/>
      <c r="U3" s="22"/>
      <c r="V3" s="24"/>
      <c r="W3" s="18"/>
      <c r="X3" s="18"/>
      <c r="Y3" s="18"/>
      <c r="Z3" s="18"/>
      <c r="AA3" s="18"/>
    </row>
    <row r="5" ht="54.0" customHeight="1">
      <c r="A5" s="5" t="s">
        <v>7</v>
      </c>
      <c r="B5" s="5" t="s">
        <v>8</v>
      </c>
      <c r="C5" s="5" t="s">
        <v>9</v>
      </c>
      <c r="D5" s="6" t="s">
        <v>10</v>
      </c>
      <c r="E5" s="6" t="s">
        <v>11</v>
      </c>
      <c r="F5" s="6" t="s">
        <v>12</v>
      </c>
      <c r="G5" s="6" t="s">
        <v>58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18</v>
      </c>
      <c r="M5" s="6" t="s">
        <v>19</v>
      </c>
      <c r="N5" s="6" t="s">
        <v>20</v>
      </c>
      <c r="O5" s="6" t="s">
        <v>21</v>
      </c>
      <c r="P5" s="6" t="s">
        <v>22</v>
      </c>
      <c r="Q5" s="6" t="s">
        <v>23</v>
      </c>
      <c r="R5" s="6" t="s">
        <v>24</v>
      </c>
      <c r="S5" s="6" t="s">
        <v>25</v>
      </c>
      <c r="T5" s="5" t="s">
        <v>26</v>
      </c>
      <c r="U5" s="5" t="s">
        <v>59</v>
      </c>
      <c r="V5" s="5" t="s">
        <v>60</v>
      </c>
      <c r="W5" s="5" t="s">
        <v>29</v>
      </c>
      <c r="X5" s="5" t="s">
        <v>30</v>
      </c>
      <c r="Y5" s="5" t="s">
        <v>31</v>
      </c>
      <c r="Z5" s="5" t="s">
        <v>32</v>
      </c>
      <c r="AA5" s="5" t="s">
        <v>33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ht="22.5" customHeight="1">
      <c r="A6" s="8">
        <v>1.0</v>
      </c>
      <c r="B6" s="25">
        <v>1.7874384E7</v>
      </c>
      <c r="C6" s="26" t="s">
        <v>34</v>
      </c>
      <c r="D6" s="9" t="b">
        <v>0</v>
      </c>
      <c r="E6" s="8" t="b">
        <v>1</v>
      </c>
      <c r="F6" s="8" t="b">
        <v>1</v>
      </c>
      <c r="G6" s="9" t="b">
        <v>0</v>
      </c>
      <c r="H6" s="9" t="b">
        <v>0</v>
      </c>
      <c r="I6" s="9" t="b">
        <v>0</v>
      </c>
      <c r="J6" s="9" t="b">
        <v>0</v>
      </c>
      <c r="K6" s="9" t="b">
        <v>0</v>
      </c>
      <c r="L6" s="9" t="b">
        <v>0</v>
      </c>
      <c r="M6" s="9" t="b">
        <v>0</v>
      </c>
      <c r="N6" s="9" t="b">
        <v>0</v>
      </c>
      <c r="O6" s="9" t="b">
        <v>0</v>
      </c>
      <c r="P6" s="9" t="b">
        <v>0</v>
      </c>
      <c r="Q6" s="9" t="b">
        <v>0</v>
      </c>
      <c r="R6" s="10" t="b">
        <v>0</v>
      </c>
      <c r="S6" s="11" t="b">
        <v>0</v>
      </c>
      <c r="T6" s="8"/>
      <c r="U6" s="27"/>
      <c r="V6" s="12"/>
      <c r="W6" s="12"/>
      <c r="X6" s="12"/>
      <c r="Y6" s="12"/>
      <c r="Z6" s="12">
        <f>(U6*0.25) + (V6*0.5) + (W6*0.5) + (X6*0.5) + (Y6*0.75)</f>
        <v>0</v>
      </c>
      <c r="AA6" s="12" t="str">
        <f>IF(AND(Basedatos[[#HEADERS],[TOTAL FASE I (50%)]]&gt;=30, Basedatos[[#HEADERS],[05-03-2033]]&gt;=75), "APROBADO", "REPROBADO")</f>
        <v>APROBADO</v>
      </c>
    </row>
    <row r="7" ht="22.5" customHeight="1">
      <c r="A7" s="8">
        <v>2.0</v>
      </c>
      <c r="B7" s="25">
        <v>2.7881205E7</v>
      </c>
      <c r="C7" s="26" t="s">
        <v>35</v>
      </c>
      <c r="D7" s="8" t="b">
        <v>1</v>
      </c>
      <c r="E7" s="8" t="b">
        <v>1</v>
      </c>
      <c r="F7" s="8" t="b">
        <v>1</v>
      </c>
      <c r="G7" s="9" t="b">
        <v>0</v>
      </c>
      <c r="H7" s="9" t="b">
        <v>0</v>
      </c>
      <c r="I7" s="9" t="b">
        <v>0</v>
      </c>
      <c r="J7" s="9" t="b">
        <v>0</v>
      </c>
      <c r="K7" s="9" t="b">
        <v>0</v>
      </c>
      <c r="L7" s="9" t="b">
        <v>0</v>
      </c>
      <c r="M7" s="9" t="b">
        <v>0</v>
      </c>
      <c r="N7" s="9" t="b">
        <v>0</v>
      </c>
      <c r="O7" s="9" t="b">
        <v>0</v>
      </c>
      <c r="P7" s="9" t="b">
        <v>0</v>
      </c>
      <c r="Q7" s="9" t="b">
        <v>0</v>
      </c>
      <c r="R7" s="10" t="b">
        <v>0</v>
      </c>
      <c r="S7" s="11" t="b">
        <v>0</v>
      </c>
      <c r="T7" s="8"/>
      <c r="U7" s="27"/>
      <c r="V7" s="12"/>
      <c r="W7" s="12"/>
      <c r="X7" s="12"/>
      <c r="Y7" s="12"/>
      <c r="Z7" s="12"/>
      <c r="AA7" s="12" t="str">
        <f>IF(AND(Basedatos[[#HEADERS],[TOTAL FASE I (50%)]]&gt;=30, Basedatos[[#HEADERS],[05-03-2033]]&gt;=75), "APROBADO", "REPROBADO")</f>
        <v>APROBADO</v>
      </c>
    </row>
    <row r="8" ht="22.5" customHeight="1">
      <c r="A8" s="8">
        <v>3.0</v>
      </c>
      <c r="B8" s="25">
        <v>2.999784E7</v>
      </c>
      <c r="C8" s="26" t="s">
        <v>36</v>
      </c>
      <c r="D8" s="8" t="b">
        <v>1</v>
      </c>
      <c r="E8" s="8" t="b">
        <v>1</v>
      </c>
      <c r="F8" s="8" t="b">
        <v>1</v>
      </c>
      <c r="G8" s="9" t="b">
        <v>0</v>
      </c>
      <c r="H8" s="9" t="b">
        <v>0</v>
      </c>
      <c r="I8" s="9" t="b">
        <v>0</v>
      </c>
      <c r="J8" s="9" t="b">
        <v>0</v>
      </c>
      <c r="K8" s="9" t="b">
        <v>0</v>
      </c>
      <c r="L8" s="9" t="b">
        <v>0</v>
      </c>
      <c r="M8" s="9" t="b">
        <v>0</v>
      </c>
      <c r="N8" s="9" t="b">
        <v>0</v>
      </c>
      <c r="O8" s="9" t="b">
        <v>0</v>
      </c>
      <c r="P8" s="9" t="b">
        <v>0</v>
      </c>
      <c r="Q8" s="9" t="b">
        <v>0</v>
      </c>
      <c r="R8" s="10" t="b">
        <v>0</v>
      </c>
      <c r="S8" s="10" t="b">
        <v>0</v>
      </c>
      <c r="T8" s="8"/>
      <c r="U8" s="27"/>
      <c r="V8" s="12"/>
      <c r="W8" s="12"/>
      <c r="X8" s="12"/>
      <c r="Y8" s="12"/>
      <c r="Z8" s="12"/>
      <c r="AA8" s="12" t="str">
        <f>IF(AND(Basedatos[[#HEADERS],[TOTAL FASE I (50%)]]&gt;=30, Basedatos[[#HEADERS],[05-03-2033]]&gt;=75), "APROBADO", "REPROBADO")</f>
        <v>APROBADO</v>
      </c>
    </row>
    <row r="9" ht="22.5" customHeight="1">
      <c r="A9" s="8">
        <v>4.0</v>
      </c>
      <c r="B9" s="25">
        <v>3.044819E7</v>
      </c>
      <c r="C9" s="26" t="s">
        <v>37</v>
      </c>
      <c r="D9" s="8" t="b">
        <v>1</v>
      </c>
      <c r="E9" s="8" t="b">
        <v>1</v>
      </c>
      <c r="F9" s="8" t="b">
        <v>1</v>
      </c>
      <c r="G9" s="9" t="b">
        <v>0</v>
      </c>
      <c r="H9" s="9" t="b">
        <v>0</v>
      </c>
      <c r="I9" s="9" t="b">
        <v>0</v>
      </c>
      <c r="J9" s="9" t="b">
        <v>0</v>
      </c>
      <c r="K9" s="9" t="b">
        <v>0</v>
      </c>
      <c r="L9" s="9" t="b">
        <v>0</v>
      </c>
      <c r="M9" s="9" t="b">
        <v>0</v>
      </c>
      <c r="N9" s="9" t="b">
        <v>0</v>
      </c>
      <c r="O9" s="9" t="b">
        <v>0</v>
      </c>
      <c r="P9" s="9" t="b">
        <v>0</v>
      </c>
      <c r="Q9" s="9" t="b">
        <v>0</v>
      </c>
      <c r="R9" s="10" t="b">
        <v>0</v>
      </c>
      <c r="S9" s="11" t="b">
        <v>0</v>
      </c>
      <c r="T9" s="8"/>
      <c r="U9" s="27"/>
      <c r="V9" s="12"/>
      <c r="W9" s="12"/>
      <c r="X9" s="12"/>
      <c r="Y9" s="12"/>
      <c r="Z9" s="12"/>
      <c r="AA9" s="12" t="str">
        <f>IF(AND(Basedatos[[#HEADERS],[TOTAL FASE I (50%)]]&gt;=30, Basedatos[[#HEADERS],[05-03-2033]]&gt;=75), "APROBADO", "REPROBADO")</f>
        <v>APROBADO</v>
      </c>
    </row>
    <row r="10" ht="22.5" customHeight="1">
      <c r="A10" s="8">
        <v>5.0</v>
      </c>
      <c r="B10" s="25">
        <v>3.059151E7</v>
      </c>
      <c r="C10" s="26" t="s">
        <v>38</v>
      </c>
      <c r="D10" s="8" t="b">
        <v>1</v>
      </c>
      <c r="E10" s="8" t="b">
        <v>1</v>
      </c>
      <c r="F10" s="8" t="b">
        <v>1</v>
      </c>
      <c r="G10" s="9" t="b">
        <v>0</v>
      </c>
      <c r="H10" s="9" t="b">
        <v>0</v>
      </c>
      <c r="I10" s="9" t="b">
        <v>0</v>
      </c>
      <c r="J10" s="9" t="b">
        <v>0</v>
      </c>
      <c r="K10" s="9" t="b">
        <v>0</v>
      </c>
      <c r="L10" s="9" t="b">
        <v>0</v>
      </c>
      <c r="M10" s="9" t="b">
        <v>0</v>
      </c>
      <c r="N10" s="9" t="b">
        <v>0</v>
      </c>
      <c r="O10" s="9" t="b">
        <v>0</v>
      </c>
      <c r="P10" s="9" t="b">
        <v>0</v>
      </c>
      <c r="Q10" s="9" t="b">
        <v>0</v>
      </c>
      <c r="R10" s="10" t="b">
        <v>0</v>
      </c>
      <c r="S10" s="11" t="b">
        <v>0</v>
      </c>
      <c r="T10" s="8"/>
      <c r="U10" s="27"/>
      <c r="V10" s="12"/>
      <c r="W10" s="12"/>
      <c r="X10" s="12"/>
      <c r="Y10" s="12"/>
      <c r="Z10" s="12"/>
      <c r="AA10" s="12" t="str">
        <f>IF(AND(Basedatos[[#HEADERS],[TOTAL FASE I (50%)]]&gt;=30, Basedatos[[#HEADERS],[05-03-2033]]&gt;=75), "APROBADO", "REPROBADO")</f>
        <v>APROBADO</v>
      </c>
    </row>
    <row r="11" ht="22.5" customHeight="1">
      <c r="A11" s="8">
        <v>6.0</v>
      </c>
      <c r="B11" s="25">
        <v>3.0676087E7</v>
      </c>
      <c r="C11" s="26" t="s">
        <v>39</v>
      </c>
      <c r="D11" s="8" t="b">
        <v>1</v>
      </c>
      <c r="E11" s="9" t="b">
        <v>0</v>
      </c>
      <c r="F11" s="8" t="b">
        <v>1</v>
      </c>
      <c r="G11" s="9" t="b">
        <v>0</v>
      </c>
      <c r="H11" s="9" t="b">
        <v>0</v>
      </c>
      <c r="I11" s="9" t="b">
        <v>0</v>
      </c>
      <c r="J11" s="9" t="b">
        <v>0</v>
      </c>
      <c r="K11" s="9" t="b">
        <v>0</v>
      </c>
      <c r="L11" s="8" t="b">
        <v>0</v>
      </c>
      <c r="M11" s="9" t="b">
        <v>0</v>
      </c>
      <c r="N11" s="9" t="b">
        <v>0</v>
      </c>
      <c r="O11" s="9" t="b">
        <v>0</v>
      </c>
      <c r="P11" s="9" t="b">
        <v>0</v>
      </c>
      <c r="Q11" s="9" t="b">
        <v>0</v>
      </c>
      <c r="R11" s="10" t="b">
        <v>0</v>
      </c>
      <c r="S11" s="10" t="b">
        <v>0</v>
      </c>
      <c r="T11" s="8"/>
      <c r="U11" s="27"/>
      <c r="V11" s="12"/>
      <c r="W11" s="12"/>
      <c r="X11" s="12"/>
      <c r="Y11" s="12"/>
      <c r="Z11" s="12"/>
      <c r="AA11" s="12" t="str">
        <f>IF(AND(Basedatos[[#HEADERS],[TOTAL FASE I (50%)]]&gt;=30, Basedatos[[#HEADERS],[05-03-2033]]&gt;=75), "APROBADO", "REPROBADO")</f>
        <v>APROBADO</v>
      </c>
    </row>
    <row r="12" ht="22.5" customHeight="1">
      <c r="A12" s="8">
        <v>7.0</v>
      </c>
      <c r="B12" s="25">
        <v>3.1027477E7</v>
      </c>
      <c r="C12" s="26" t="s">
        <v>40</v>
      </c>
      <c r="D12" s="9" t="b">
        <v>0</v>
      </c>
      <c r="E12" s="8" t="b">
        <v>1</v>
      </c>
      <c r="F12" s="8" t="b">
        <v>1</v>
      </c>
      <c r="G12" s="9" t="b">
        <v>0</v>
      </c>
      <c r="H12" s="9" t="b">
        <v>0</v>
      </c>
      <c r="I12" s="9" t="b">
        <v>0</v>
      </c>
      <c r="J12" s="9" t="b">
        <v>0</v>
      </c>
      <c r="K12" s="9" t="b">
        <v>0</v>
      </c>
      <c r="L12" s="9" t="b">
        <v>0</v>
      </c>
      <c r="M12" s="9" t="b">
        <v>0</v>
      </c>
      <c r="N12" s="9" t="b">
        <v>0</v>
      </c>
      <c r="O12" s="9" t="b">
        <v>0</v>
      </c>
      <c r="P12" s="9" t="b">
        <v>0</v>
      </c>
      <c r="Q12" s="9" t="b">
        <v>0</v>
      </c>
      <c r="R12" s="10" t="b">
        <v>0</v>
      </c>
      <c r="S12" s="10" t="b">
        <v>0</v>
      </c>
      <c r="T12" s="8"/>
      <c r="U12" s="27"/>
      <c r="V12" s="12"/>
      <c r="W12" s="12"/>
      <c r="X12" s="12"/>
      <c r="Y12" s="12"/>
      <c r="Z12" s="12"/>
      <c r="AA12" s="12" t="str">
        <f>IF(AND(Basedatos[[#HEADERS],[TOTAL FASE I (50%)]]&gt;=30, Basedatos[[#HEADERS],[05-03-2033]]&gt;=75), "APROBADO", "REPROBADO")</f>
        <v>APROBADO</v>
      </c>
    </row>
    <row r="13" ht="22.5" customHeight="1">
      <c r="A13" s="8">
        <v>8.0</v>
      </c>
      <c r="B13" s="25">
        <v>3.1181708E7</v>
      </c>
      <c r="C13" s="26" t="s">
        <v>41</v>
      </c>
      <c r="D13" s="9" t="b">
        <v>0</v>
      </c>
      <c r="E13" s="8" t="b">
        <v>1</v>
      </c>
      <c r="F13" s="8" t="b">
        <v>1</v>
      </c>
      <c r="G13" s="9" t="b">
        <v>0</v>
      </c>
      <c r="H13" s="9" t="b">
        <v>0</v>
      </c>
      <c r="I13" s="9" t="b">
        <v>0</v>
      </c>
      <c r="J13" s="9" t="b">
        <v>0</v>
      </c>
      <c r="K13" s="9" t="b">
        <v>0</v>
      </c>
      <c r="L13" s="9" t="b">
        <v>0</v>
      </c>
      <c r="M13" s="9" t="b">
        <v>0</v>
      </c>
      <c r="N13" s="9" t="b">
        <v>0</v>
      </c>
      <c r="O13" s="9" t="b">
        <v>0</v>
      </c>
      <c r="P13" s="9" t="b">
        <v>0</v>
      </c>
      <c r="Q13" s="9" t="b">
        <v>0</v>
      </c>
      <c r="R13" s="10" t="b">
        <v>0</v>
      </c>
      <c r="S13" s="10" t="b">
        <v>0</v>
      </c>
      <c r="T13" s="8"/>
      <c r="U13" s="27"/>
      <c r="V13" s="12"/>
      <c r="W13" s="12"/>
      <c r="X13" s="12"/>
      <c r="Y13" s="12"/>
      <c r="Z13" s="12"/>
      <c r="AA13" s="12" t="str">
        <f>IF(AND(Basedatos[[#HEADERS],[TOTAL FASE I (50%)]]&gt;=30, Basedatos[[#HEADERS],[05-03-2033]]&gt;=75), "APROBADO", "REPROBADO")</f>
        <v>APROBADO</v>
      </c>
    </row>
    <row r="14" ht="22.5" customHeight="1">
      <c r="A14" s="8">
        <v>9.0</v>
      </c>
      <c r="B14" s="25">
        <v>3.1272198E7</v>
      </c>
      <c r="C14" s="26" t="s">
        <v>42</v>
      </c>
      <c r="D14" s="8" t="b">
        <v>1</v>
      </c>
      <c r="E14" s="8" t="b">
        <v>1</v>
      </c>
      <c r="F14" s="8" t="b">
        <v>1</v>
      </c>
      <c r="G14" s="9" t="b">
        <v>0</v>
      </c>
      <c r="H14" s="9" t="b">
        <v>0</v>
      </c>
      <c r="I14" s="9" t="b">
        <v>0</v>
      </c>
      <c r="J14" s="9" t="b">
        <v>0</v>
      </c>
      <c r="K14" s="9" t="b">
        <v>0</v>
      </c>
      <c r="L14" s="9" t="b">
        <v>0</v>
      </c>
      <c r="M14" s="9" t="b">
        <v>0</v>
      </c>
      <c r="N14" s="9" t="b">
        <v>0</v>
      </c>
      <c r="O14" s="9" t="b">
        <v>0</v>
      </c>
      <c r="P14" s="9" t="b">
        <v>0</v>
      </c>
      <c r="Q14" s="9" t="b">
        <v>0</v>
      </c>
      <c r="R14" s="10" t="b">
        <v>0</v>
      </c>
      <c r="S14" s="10" t="b">
        <v>0</v>
      </c>
      <c r="T14" s="8"/>
      <c r="U14" s="27"/>
      <c r="V14" s="12"/>
      <c r="W14" s="12"/>
      <c r="X14" s="12"/>
      <c r="Y14" s="12"/>
      <c r="Z14" s="12"/>
      <c r="AA14" s="12" t="str">
        <f>IF(AND(Basedatos[[#HEADERS],[TOTAL FASE I (50%)]]&gt;=30, Basedatos[[#HEADERS],[05-03-2033]]&gt;=75), "APROBADO", "REPROBADO")</f>
        <v>APROBADO</v>
      </c>
    </row>
    <row r="15" ht="22.5" customHeight="1">
      <c r="A15" s="8">
        <v>10.0</v>
      </c>
      <c r="B15" s="25">
        <v>3.1290839E7</v>
      </c>
      <c r="C15" s="26" t="s">
        <v>43</v>
      </c>
      <c r="D15" s="8" t="b">
        <v>1</v>
      </c>
      <c r="E15" s="8" t="b">
        <v>1</v>
      </c>
      <c r="F15" s="8" t="b">
        <v>1</v>
      </c>
      <c r="G15" s="9" t="b">
        <v>0</v>
      </c>
      <c r="H15" s="9" t="b">
        <v>0</v>
      </c>
      <c r="I15" s="9" t="b">
        <v>0</v>
      </c>
      <c r="J15" s="9" t="b">
        <v>0</v>
      </c>
      <c r="K15" s="9" t="b">
        <v>0</v>
      </c>
      <c r="L15" s="9" t="b">
        <v>0</v>
      </c>
      <c r="M15" s="9" t="b">
        <v>0</v>
      </c>
      <c r="N15" s="9" t="b">
        <v>0</v>
      </c>
      <c r="O15" s="9" t="b">
        <v>0</v>
      </c>
      <c r="P15" s="9" t="b">
        <v>0</v>
      </c>
      <c r="Q15" s="9" t="b">
        <v>0</v>
      </c>
      <c r="R15" s="10" t="b">
        <v>0</v>
      </c>
      <c r="S15" s="10" t="b">
        <v>0</v>
      </c>
      <c r="T15" s="8"/>
      <c r="U15" s="27"/>
      <c r="V15" s="12"/>
      <c r="W15" s="12"/>
      <c r="X15" s="12"/>
      <c r="Y15" s="12"/>
      <c r="Z15" s="12"/>
      <c r="AA15" s="12" t="str">
        <f>IF(AND(Basedatos[[#HEADERS],[TOTAL FASE I (50%)]]&gt;=30, Basedatos[[#HEADERS],[05-03-2033]]&gt;=75), "APROBADO", "REPROBADO")</f>
        <v>APROBADO</v>
      </c>
    </row>
    <row r="16" ht="22.5" customHeight="1">
      <c r="A16" s="8">
        <v>11.0</v>
      </c>
      <c r="B16" s="25">
        <v>3.1563216E7</v>
      </c>
      <c r="C16" s="26" t="s">
        <v>44</v>
      </c>
      <c r="D16" s="8" t="b">
        <v>1</v>
      </c>
      <c r="E16" s="8" t="b">
        <v>1</v>
      </c>
      <c r="F16" s="8" t="b">
        <v>1</v>
      </c>
      <c r="G16" s="9" t="b">
        <v>0</v>
      </c>
      <c r="H16" s="9" t="b">
        <v>0</v>
      </c>
      <c r="I16" s="9" t="b">
        <v>0</v>
      </c>
      <c r="J16" s="9" t="b">
        <v>0</v>
      </c>
      <c r="K16" s="9" t="b">
        <v>0</v>
      </c>
      <c r="L16" s="9" t="b">
        <v>0</v>
      </c>
      <c r="M16" s="9" t="b">
        <v>0</v>
      </c>
      <c r="N16" s="9" t="b">
        <v>0</v>
      </c>
      <c r="O16" s="9" t="b">
        <v>0</v>
      </c>
      <c r="P16" s="9" t="b">
        <v>0</v>
      </c>
      <c r="Q16" s="9" t="b">
        <v>0</v>
      </c>
      <c r="R16" s="10" t="b">
        <v>0</v>
      </c>
      <c r="S16" s="11" t="b">
        <v>0</v>
      </c>
      <c r="T16" s="8"/>
      <c r="U16" s="27"/>
      <c r="V16" s="12"/>
      <c r="W16" s="12"/>
      <c r="X16" s="12"/>
      <c r="Y16" s="12"/>
      <c r="Z16" s="12"/>
      <c r="AA16" s="12" t="str">
        <f>IF(AND(Basedatos[[#HEADERS],[TOTAL FASE I (50%)]]&gt;=30, Basedatos[[#HEADERS],[05-03-2033]]&gt;=75), "APROBADO", "REPROBADO")</f>
        <v>APROBADO</v>
      </c>
    </row>
    <row r="17" ht="22.5" customHeight="1">
      <c r="A17" s="8">
        <v>12.0</v>
      </c>
      <c r="B17" s="25">
        <v>3.1631276E7</v>
      </c>
      <c r="C17" s="26" t="s">
        <v>45</v>
      </c>
      <c r="D17" s="9" t="b">
        <v>0</v>
      </c>
      <c r="E17" s="8" t="b">
        <v>1</v>
      </c>
      <c r="F17" s="8" t="b">
        <v>1</v>
      </c>
      <c r="G17" s="9" t="b">
        <v>0</v>
      </c>
      <c r="H17" s="9" t="b">
        <v>0</v>
      </c>
      <c r="I17" s="9" t="b">
        <v>0</v>
      </c>
      <c r="J17" s="9" t="b">
        <v>0</v>
      </c>
      <c r="K17" s="9" t="b">
        <v>0</v>
      </c>
      <c r="L17" s="9" t="b">
        <v>0</v>
      </c>
      <c r="M17" s="9" t="b">
        <v>0</v>
      </c>
      <c r="N17" s="9" t="b">
        <v>0</v>
      </c>
      <c r="O17" s="9" t="b">
        <v>0</v>
      </c>
      <c r="P17" s="9" t="b">
        <v>0</v>
      </c>
      <c r="Q17" s="9" t="b">
        <v>0</v>
      </c>
      <c r="R17" s="10" t="b">
        <v>0</v>
      </c>
      <c r="S17" s="11" t="b">
        <v>0</v>
      </c>
      <c r="T17" s="8"/>
      <c r="U17" s="27"/>
      <c r="V17" s="12"/>
      <c r="W17" s="12"/>
      <c r="X17" s="12"/>
      <c r="Y17" s="12"/>
      <c r="Z17" s="12"/>
      <c r="AA17" s="12" t="str">
        <f>IF(AND(Basedatos[[#HEADERS],[TOTAL FASE I (50%)]]&gt;=30, Basedatos[[#HEADERS],[05-03-2033]]&gt;=75), "APROBADO", "REPROBADO")</f>
        <v>APROBADO</v>
      </c>
    </row>
    <row r="18" ht="22.5" customHeight="1">
      <c r="A18" s="8">
        <v>13.0</v>
      </c>
      <c r="B18" s="25">
        <v>3.1766281E7</v>
      </c>
      <c r="C18" s="26" t="s">
        <v>46</v>
      </c>
      <c r="D18" s="9" t="b">
        <v>0</v>
      </c>
      <c r="E18" s="8" t="b">
        <v>1</v>
      </c>
      <c r="F18" s="8" t="b">
        <v>1</v>
      </c>
      <c r="G18" s="9" t="b">
        <v>0</v>
      </c>
      <c r="H18" s="9" t="b">
        <v>0</v>
      </c>
      <c r="I18" s="9" t="b">
        <v>0</v>
      </c>
      <c r="J18" s="9" t="b">
        <v>0</v>
      </c>
      <c r="K18" s="9" t="b">
        <v>0</v>
      </c>
      <c r="L18" s="9" t="b">
        <v>0</v>
      </c>
      <c r="M18" s="9" t="b">
        <v>0</v>
      </c>
      <c r="N18" s="9" t="b">
        <v>0</v>
      </c>
      <c r="O18" s="9" t="b">
        <v>0</v>
      </c>
      <c r="P18" s="9" t="b">
        <v>0</v>
      </c>
      <c r="Q18" s="9" t="b">
        <v>0</v>
      </c>
      <c r="R18" s="10" t="b">
        <v>0</v>
      </c>
      <c r="S18" s="10" t="b">
        <v>0</v>
      </c>
      <c r="T18" s="8"/>
      <c r="U18" s="27"/>
      <c r="V18" s="12"/>
      <c r="W18" s="12"/>
      <c r="X18" s="12"/>
      <c r="Y18" s="12"/>
      <c r="Z18" s="12"/>
      <c r="AA18" s="12" t="str">
        <f>IF(AND(Basedatos[[#HEADERS],[TOTAL FASE I (50%)]]&gt;=30, Basedatos[[#HEADERS],[05-03-2033]]&gt;=75), "APROBADO", "REPROBADO")</f>
        <v>APROBADO</v>
      </c>
    </row>
    <row r="19" ht="22.5" customHeight="1">
      <c r="A19" s="8">
        <v>14.0</v>
      </c>
      <c r="B19" s="25">
        <v>3.1771096E7</v>
      </c>
      <c r="C19" s="26" t="s">
        <v>47</v>
      </c>
      <c r="D19" s="8" t="b">
        <v>1</v>
      </c>
      <c r="E19" s="8" t="b">
        <v>1</v>
      </c>
      <c r="F19" s="9" t="b">
        <v>0</v>
      </c>
      <c r="G19" s="9" t="b">
        <v>0</v>
      </c>
      <c r="H19" s="9" t="b">
        <v>0</v>
      </c>
      <c r="I19" s="9" t="b">
        <v>0</v>
      </c>
      <c r="J19" s="9" t="b">
        <v>0</v>
      </c>
      <c r="K19" s="9" t="b">
        <v>0</v>
      </c>
      <c r="L19" s="9" t="b">
        <v>0</v>
      </c>
      <c r="M19" s="9" t="b">
        <v>0</v>
      </c>
      <c r="N19" s="9" t="b">
        <v>0</v>
      </c>
      <c r="O19" s="9" t="b">
        <v>0</v>
      </c>
      <c r="P19" s="9" t="b">
        <v>0</v>
      </c>
      <c r="Q19" s="9" t="b">
        <v>0</v>
      </c>
      <c r="R19" s="10" t="b">
        <v>0</v>
      </c>
      <c r="S19" s="11" t="b">
        <v>0</v>
      </c>
      <c r="T19" s="8"/>
      <c r="U19" s="27"/>
      <c r="V19" s="12"/>
      <c r="W19" s="12"/>
      <c r="X19" s="12"/>
      <c r="Y19" s="12"/>
      <c r="Z19" s="12"/>
      <c r="AA19" s="12" t="str">
        <f>IF(AND(Basedatos[[#HEADERS],[TOTAL FASE I (50%)]]&gt;=30, Basedatos[[#HEADERS],[05-03-2033]]&gt;=75), "APROBADO", "REPROBADO")</f>
        <v>APROBADO</v>
      </c>
    </row>
    <row r="20" ht="22.5" customHeight="1">
      <c r="A20" s="8">
        <v>15.0</v>
      </c>
      <c r="B20" s="25">
        <v>3.184278E7</v>
      </c>
      <c r="C20" s="26" t="s">
        <v>61</v>
      </c>
      <c r="D20" s="8" t="b">
        <v>1</v>
      </c>
      <c r="E20" s="9" t="b">
        <v>0</v>
      </c>
      <c r="F20" s="8" t="b">
        <v>1</v>
      </c>
      <c r="G20" s="9" t="b">
        <v>0</v>
      </c>
      <c r="H20" s="9" t="b">
        <v>0</v>
      </c>
      <c r="I20" s="9" t="b">
        <v>0</v>
      </c>
      <c r="J20" s="9" t="b">
        <v>0</v>
      </c>
      <c r="K20" s="9" t="b">
        <v>0</v>
      </c>
      <c r="L20" s="9" t="b">
        <v>0</v>
      </c>
      <c r="M20" s="9" t="b">
        <v>0</v>
      </c>
      <c r="N20" s="9" t="b">
        <v>0</v>
      </c>
      <c r="O20" s="9" t="b">
        <v>0</v>
      </c>
      <c r="P20" s="9" t="b">
        <v>0</v>
      </c>
      <c r="Q20" s="9" t="b">
        <v>0</v>
      </c>
      <c r="R20" s="10" t="b">
        <v>0</v>
      </c>
      <c r="S20" s="11" t="b">
        <v>0</v>
      </c>
      <c r="T20" s="8"/>
      <c r="U20" s="27"/>
      <c r="V20" s="12"/>
      <c r="W20" s="12"/>
      <c r="X20" s="12"/>
      <c r="Y20" s="12"/>
      <c r="Z20" s="12"/>
      <c r="AA20" s="12" t="str">
        <f>IF(AND(Basedatos[[#HEADERS],[TOTAL FASE I (50%)]]&gt;=30, Basedatos[[#HEADERS],[05-03-2033]]&gt;=75), "APROBADO", "REPROBADO")</f>
        <v>APROBADO</v>
      </c>
    </row>
    <row r="21" ht="22.5" customHeight="1">
      <c r="A21" s="8">
        <v>16.0</v>
      </c>
      <c r="B21" s="25">
        <v>3.1843918E7</v>
      </c>
      <c r="C21" s="26" t="s">
        <v>49</v>
      </c>
      <c r="D21" s="8" t="b">
        <v>1</v>
      </c>
      <c r="E21" s="8" t="b">
        <v>1</v>
      </c>
      <c r="F21" s="8" t="b">
        <v>1</v>
      </c>
      <c r="G21" s="9" t="b">
        <v>0</v>
      </c>
      <c r="H21" s="9" t="b">
        <v>0</v>
      </c>
      <c r="I21" s="9" t="b">
        <v>0</v>
      </c>
      <c r="J21" s="9" t="b">
        <v>0</v>
      </c>
      <c r="K21" s="9" t="b">
        <v>0</v>
      </c>
      <c r="L21" s="9" t="b">
        <v>0</v>
      </c>
      <c r="M21" s="9" t="b">
        <v>0</v>
      </c>
      <c r="N21" s="9" t="b">
        <v>0</v>
      </c>
      <c r="O21" s="9" t="b">
        <v>0</v>
      </c>
      <c r="P21" s="9" t="b">
        <v>0</v>
      </c>
      <c r="Q21" s="9" t="b">
        <v>0</v>
      </c>
      <c r="R21" s="10" t="b">
        <v>0</v>
      </c>
      <c r="S21" s="11" t="b">
        <v>0</v>
      </c>
      <c r="T21" s="8"/>
      <c r="U21" s="27"/>
      <c r="V21" s="12"/>
      <c r="W21" s="12"/>
      <c r="X21" s="12"/>
      <c r="Y21" s="12"/>
      <c r="Z21" s="12"/>
      <c r="AA21" s="12" t="str">
        <f>IF(AND(Basedatos[[#HEADERS],[TOTAL FASE I (50%)]]&gt;=30, Basedatos[[#HEADERS],[05-03-2033]]&gt;=75), "APROBADO", "REPROBADO")</f>
        <v>APROBADO</v>
      </c>
    </row>
    <row r="22" ht="22.5" customHeight="1">
      <c r="A22" s="8">
        <v>17.0</v>
      </c>
      <c r="B22" s="25">
        <v>3.1930419E7</v>
      </c>
      <c r="C22" s="26" t="s">
        <v>50</v>
      </c>
      <c r="D22" s="8" t="b">
        <v>1</v>
      </c>
      <c r="E22" s="8" t="b">
        <v>1</v>
      </c>
      <c r="F22" s="8" t="b">
        <v>1</v>
      </c>
      <c r="G22" s="9" t="b">
        <v>0</v>
      </c>
      <c r="H22" s="9" t="b">
        <v>0</v>
      </c>
      <c r="I22" s="9" t="b">
        <v>0</v>
      </c>
      <c r="J22" s="9" t="b">
        <v>0</v>
      </c>
      <c r="K22" s="9" t="b">
        <v>0</v>
      </c>
      <c r="L22" s="9" t="b">
        <v>0</v>
      </c>
      <c r="M22" s="9" t="b">
        <v>0</v>
      </c>
      <c r="N22" s="9" t="b">
        <v>0</v>
      </c>
      <c r="O22" s="9" t="b">
        <v>0</v>
      </c>
      <c r="P22" s="9" t="b">
        <v>0</v>
      </c>
      <c r="Q22" s="9" t="b">
        <v>0</v>
      </c>
      <c r="R22" s="10" t="b">
        <v>0</v>
      </c>
      <c r="S22" s="11" t="b">
        <v>0</v>
      </c>
      <c r="T22" s="8"/>
      <c r="U22" s="27"/>
      <c r="V22" s="12"/>
      <c r="W22" s="12"/>
      <c r="X22" s="12"/>
      <c r="Y22" s="12"/>
      <c r="Z22" s="12"/>
      <c r="AA22" s="12" t="str">
        <f>IF(AND(Basedatos[[#HEADERS],[TOTAL FASE I (50%)]]&gt;=30, Basedatos[[#HEADERS],[05-03-2033]]&gt;=75), "APROBADO", "REPROBADO")</f>
        <v>APROBADO</v>
      </c>
    </row>
    <row r="23" ht="22.5" customHeight="1">
      <c r="A23" s="8">
        <v>18.0</v>
      </c>
      <c r="B23" s="25">
        <v>3.2029044E7</v>
      </c>
      <c r="C23" s="26" t="s">
        <v>51</v>
      </c>
      <c r="D23" s="8" t="b">
        <v>1</v>
      </c>
      <c r="E23" s="8" t="b">
        <v>1</v>
      </c>
      <c r="F23" s="8" t="b">
        <v>1</v>
      </c>
      <c r="G23" s="9" t="b">
        <v>0</v>
      </c>
      <c r="H23" s="9" t="b">
        <v>0</v>
      </c>
      <c r="I23" s="9" t="b">
        <v>0</v>
      </c>
      <c r="J23" s="9" t="b">
        <v>0</v>
      </c>
      <c r="K23" s="9" t="b">
        <v>0</v>
      </c>
      <c r="L23" s="9" t="b">
        <v>0</v>
      </c>
      <c r="M23" s="9" t="b">
        <v>0</v>
      </c>
      <c r="N23" s="9" t="b">
        <v>0</v>
      </c>
      <c r="O23" s="9" t="b">
        <v>0</v>
      </c>
      <c r="P23" s="9" t="b">
        <v>0</v>
      </c>
      <c r="Q23" s="9" t="b">
        <v>0</v>
      </c>
      <c r="R23" s="10" t="b">
        <v>0</v>
      </c>
      <c r="S23" s="11" t="b">
        <v>0</v>
      </c>
      <c r="T23" s="8"/>
      <c r="U23" s="27"/>
      <c r="V23" s="12"/>
      <c r="W23" s="12"/>
      <c r="X23" s="12"/>
      <c r="Y23" s="12"/>
      <c r="Z23" s="12"/>
      <c r="AA23" s="12" t="str">
        <f>IF(AND(Basedatos[[#HEADERS],[TOTAL FASE I (50%)]]&gt;=30, Basedatos[[#HEADERS],[05-03-2033]]&gt;=75), "APROBADO", "REPROBADO")</f>
        <v>APROBADO</v>
      </c>
    </row>
    <row r="24" ht="22.5" customHeight="1">
      <c r="A24" s="8">
        <v>19.0</v>
      </c>
      <c r="B24" s="25">
        <v>3.2029299E7</v>
      </c>
      <c r="C24" s="26" t="s">
        <v>52</v>
      </c>
      <c r="D24" s="9" t="b">
        <v>0</v>
      </c>
      <c r="E24" s="9" t="b">
        <v>0</v>
      </c>
      <c r="F24" s="8" t="b">
        <v>1</v>
      </c>
      <c r="G24" s="9" t="b">
        <v>0</v>
      </c>
      <c r="H24" s="9" t="b">
        <v>0</v>
      </c>
      <c r="I24" s="9" t="b">
        <v>0</v>
      </c>
      <c r="J24" s="9" t="b">
        <v>0</v>
      </c>
      <c r="K24" s="9" t="b">
        <v>0</v>
      </c>
      <c r="L24" s="9" t="b">
        <v>0</v>
      </c>
      <c r="M24" s="9" t="b">
        <v>0</v>
      </c>
      <c r="N24" s="9" t="b">
        <v>0</v>
      </c>
      <c r="O24" s="9" t="b">
        <v>0</v>
      </c>
      <c r="P24" s="9" t="b">
        <v>0</v>
      </c>
      <c r="Q24" s="9" t="b">
        <v>0</v>
      </c>
      <c r="R24" s="10" t="b">
        <v>0</v>
      </c>
      <c r="S24" s="10" t="b">
        <v>0</v>
      </c>
      <c r="T24" s="8"/>
      <c r="U24" s="27"/>
      <c r="V24" s="12"/>
      <c r="W24" s="12"/>
      <c r="X24" s="12"/>
      <c r="Y24" s="12"/>
      <c r="Z24" s="12"/>
      <c r="AA24" s="12" t="str">
        <f>IF(AND(Basedatos[[#HEADERS],[TOTAL FASE I (50%)]]&gt;=30, Basedatos[[#HEADERS],[05-03-2033]]&gt;=75), "APROBADO", "REPROBADO")</f>
        <v>APROBADO</v>
      </c>
    </row>
    <row r="25" ht="22.5" customHeight="1">
      <c r="A25" s="8">
        <v>20.0</v>
      </c>
      <c r="B25" s="25">
        <v>3.2351814E7</v>
      </c>
      <c r="C25" s="26" t="s">
        <v>53</v>
      </c>
      <c r="D25" s="8" t="b">
        <v>1</v>
      </c>
      <c r="E25" s="8" t="b">
        <v>1</v>
      </c>
      <c r="F25" s="8" t="b">
        <v>1</v>
      </c>
      <c r="G25" s="9" t="b">
        <v>0</v>
      </c>
      <c r="H25" s="9" t="b">
        <v>0</v>
      </c>
      <c r="I25" s="9" t="b">
        <v>0</v>
      </c>
      <c r="J25" s="9" t="b">
        <v>0</v>
      </c>
      <c r="K25" s="9" t="b">
        <v>0</v>
      </c>
      <c r="L25" s="9" t="b">
        <v>0</v>
      </c>
      <c r="M25" s="9" t="b">
        <v>0</v>
      </c>
      <c r="N25" s="9" t="b">
        <v>0</v>
      </c>
      <c r="O25" s="9" t="b">
        <v>0</v>
      </c>
      <c r="P25" s="9" t="b">
        <v>0</v>
      </c>
      <c r="Q25" s="9" t="b">
        <v>0</v>
      </c>
      <c r="R25" s="10" t="b">
        <v>0</v>
      </c>
      <c r="S25" s="11" t="b">
        <v>0</v>
      </c>
      <c r="T25" s="8"/>
      <c r="U25" s="27"/>
      <c r="V25" s="12"/>
      <c r="W25" s="12"/>
      <c r="X25" s="12"/>
      <c r="Y25" s="12"/>
      <c r="Z25" s="12"/>
      <c r="AA25" s="12" t="str">
        <f>IF(AND(Basedatos[[#HEADERS],[TOTAL FASE I (50%)]]&gt;=30, Basedatos[[#HEADERS],[05-03-2033]]&gt;=75), "APROBADO", "REPROBADO")</f>
        <v>APROBADO</v>
      </c>
    </row>
    <row r="26" ht="22.5" customHeight="1">
      <c r="A26" s="8">
        <v>21.0</v>
      </c>
      <c r="B26" s="25">
        <v>3.2351815E7</v>
      </c>
      <c r="C26" s="26" t="s">
        <v>54</v>
      </c>
      <c r="D26" s="8" t="b">
        <v>1</v>
      </c>
      <c r="E26" s="8" t="b">
        <v>1</v>
      </c>
      <c r="F26" s="8" t="b">
        <v>1</v>
      </c>
      <c r="G26" s="9" t="b">
        <v>0</v>
      </c>
      <c r="H26" s="9" t="b">
        <v>0</v>
      </c>
      <c r="I26" s="9" t="b">
        <v>0</v>
      </c>
      <c r="J26" s="9" t="b">
        <v>0</v>
      </c>
      <c r="K26" s="9" t="b">
        <v>0</v>
      </c>
      <c r="L26" s="9" t="b">
        <v>0</v>
      </c>
      <c r="M26" s="9" t="b">
        <v>0</v>
      </c>
      <c r="N26" s="9" t="b">
        <v>0</v>
      </c>
      <c r="O26" s="9" t="b">
        <v>0</v>
      </c>
      <c r="P26" s="9" t="b">
        <v>0</v>
      </c>
      <c r="Q26" s="9" t="b">
        <v>0</v>
      </c>
      <c r="R26" s="10" t="b">
        <v>0</v>
      </c>
      <c r="S26" s="11" t="b">
        <v>0</v>
      </c>
      <c r="T26" s="8"/>
      <c r="U26" s="27"/>
      <c r="V26" s="12"/>
      <c r="W26" s="12"/>
      <c r="X26" s="12"/>
      <c r="Y26" s="12"/>
      <c r="Z26" s="12"/>
      <c r="AA26" s="12" t="str">
        <f>IF(AND(Basedatos[[#HEADERS],[TOTAL FASE I (50%)]]&gt;=30, Basedatos[[#HEADERS],[05-03-2033]]&gt;=75), "APROBADO", "REPROBADO")</f>
        <v>APROBADO</v>
      </c>
    </row>
    <row r="27" ht="22.5" customHeight="1">
      <c r="A27" s="8">
        <v>22.0</v>
      </c>
      <c r="B27" s="25">
        <v>3.2705666E7</v>
      </c>
      <c r="C27" s="26" t="s">
        <v>55</v>
      </c>
      <c r="D27" s="8" t="b">
        <v>1</v>
      </c>
      <c r="E27" s="8" t="b">
        <v>1</v>
      </c>
      <c r="F27" s="8" t="b">
        <v>1</v>
      </c>
      <c r="G27" s="9" t="b">
        <v>0</v>
      </c>
      <c r="H27" s="9" t="b">
        <v>0</v>
      </c>
      <c r="I27" s="9" t="b">
        <v>0</v>
      </c>
      <c r="J27" s="9" t="b">
        <v>0</v>
      </c>
      <c r="K27" s="9" t="b">
        <v>0</v>
      </c>
      <c r="L27" s="9" t="b">
        <v>0</v>
      </c>
      <c r="M27" s="9" t="b">
        <v>0</v>
      </c>
      <c r="N27" s="9" t="b">
        <v>0</v>
      </c>
      <c r="O27" s="9" t="b">
        <v>0</v>
      </c>
      <c r="P27" s="9" t="b">
        <v>0</v>
      </c>
      <c r="Q27" s="9" t="b">
        <v>0</v>
      </c>
      <c r="R27" s="10" t="b">
        <v>0</v>
      </c>
      <c r="S27" s="11" t="b">
        <v>0</v>
      </c>
      <c r="T27" s="8"/>
      <c r="U27" s="27"/>
      <c r="V27" s="12"/>
      <c r="W27" s="12"/>
      <c r="X27" s="12"/>
      <c r="Y27" s="12"/>
      <c r="Z27" s="12"/>
      <c r="AA27" s="12" t="str">
        <f>IF(AND(Basedatos[[#HEADERS],[TOTAL FASE I (50%)]]&gt;=30, Basedatos[[#HEADERS],[05-03-2033]]&gt;=75), "APROBADO", "REPROBADO")</f>
        <v>APROBADO</v>
      </c>
    </row>
    <row r="28" ht="22.5" customHeight="1">
      <c r="A28" s="8">
        <v>23.0</v>
      </c>
      <c r="B28" s="25">
        <v>3.2774572E7</v>
      </c>
      <c r="C28" s="26" t="s">
        <v>56</v>
      </c>
      <c r="D28" s="8" t="b">
        <v>1</v>
      </c>
      <c r="E28" s="8" t="b">
        <v>1</v>
      </c>
      <c r="F28" s="8" t="b">
        <v>1</v>
      </c>
      <c r="G28" s="9" t="b">
        <v>0</v>
      </c>
      <c r="H28" s="9" t="b">
        <v>0</v>
      </c>
      <c r="I28" s="9" t="b">
        <v>0</v>
      </c>
      <c r="J28" s="9" t="b">
        <v>0</v>
      </c>
      <c r="K28" s="9" t="b">
        <v>0</v>
      </c>
      <c r="L28" s="9" t="b">
        <v>0</v>
      </c>
      <c r="M28" s="9" t="b">
        <v>0</v>
      </c>
      <c r="N28" s="9" t="b">
        <v>0</v>
      </c>
      <c r="O28" s="9" t="b">
        <v>0</v>
      </c>
      <c r="P28" s="9" t="b">
        <v>0</v>
      </c>
      <c r="Q28" s="9" t="b">
        <v>0</v>
      </c>
      <c r="R28" s="10" t="b">
        <v>0</v>
      </c>
      <c r="S28" s="11" t="b">
        <v>0</v>
      </c>
      <c r="T28" s="8"/>
      <c r="U28" s="27"/>
      <c r="V28" s="12"/>
      <c r="W28" s="12"/>
      <c r="X28" s="12"/>
      <c r="Y28" s="12"/>
      <c r="Z28" s="12"/>
      <c r="AA28" s="12" t="str">
        <f>IF(AND(Basedatos[[#HEADERS],[TOTAL FASE I (50%)]]&gt;=30, Basedatos[[#HEADERS],[05-03-2033]]&gt;=75), "APROBADO", "REPROBADO")</f>
        <v>APROBADO</v>
      </c>
    </row>
  </sheetData>
  <dataValidations>
    <dataValidation type="custom" allowBlank="1" showDropDown="1" sqref="B6:B28">
      <formula1>AND(ISNUMBER(B6),(NOT(OR(NOT(ISERROR(DATEVALUE(B6))), AND(ISNUMBER(B6), LEFT(CELL("format", B6))="D")))))</formula1>
    </dataValidation>
  </dataValidations>
  <drawing r:id="rId1"/>
  <tableParts count="1">
    <tablePart r:id="rId3"/>
  </tableParts>
</worksheet>
</file>